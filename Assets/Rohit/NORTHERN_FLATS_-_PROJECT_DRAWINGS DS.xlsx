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ulBalwaik\Desktop\ARK SQUARE\"/>
    </mc:Choice>
  </mc:AlternateContent>
  <xr:revisionPtr revIDLastSave="0" documentId="13_ncr:1_{86D9D237-80F9-4A6D-86CE-4CD33C021FB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 1" sheetId="1" r:id="rId1"/>
    <sheet name="Sheet1" sheetId="2" r:id="rId2"/>
    <sheet name="Sheet2" sheetId="3" r:id="rId3"/>
  </sheets>
  <definedNames>
    <definedName name="_xlnm._FilterDatabase" localSheetId="1" hidden="1">Sheet1!$A$1:$S$49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2" l="1"/>
  <c r="G24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B26" i="3"/>
  <c r="F4" i="3"/>
  <c r="F5" i="3"/>
  <c r="F6" i="3"/>
  <c r="F7" i="3"/>
  <c r="F8" i="3"/>
  <c r="F9" i="3"/>
  <c r="F10" i="3"/>
  <c r="F11" i="3"/>
  <c r="F3" i="3"/>
  <c r="P17" i="3"/>
  <c r="P18" i="3"/>
  <c r="P19" i="3"/>
  <c r="P20" i="3"/>
  <c r="P21" i="3"/>
  <c r="P22" i="3"/>
  <c r="P23" i="3"/>
  <c r="P16" i="3"/>
  <c r="C24" i="3"/>
  <c r="D24" i="3"/>
  <c r="E24" i="3"/>
  <c r="F24" i="3"/>
  <c r="H24" i="3"/>
  <c r="I24" i="3"/>
  <c r="J24" i="3"/>
  <c r="K24" i="3"/>
  <c r="L24" i="3"/>
  <c r="M24" i="3"/>
  <c r="N24" i="3"/>
  <c r="O24" i="3"/>
  <c r="B24" i="3"/>
  <c r="P24" i="3" s="1"/>
  <c r="C11" i="3"/>
  <c r="D11" i="3"/>
  <c r="E11" i="3"/>
  <c r="B11" i="3"/>
</calcChain>
</file>

<file path=xl/sharedStrings.xml><?xml version="1.0" encoding="utf-8"?>
<sst xmlns="http://schemas.openxmlformats.org/spreadsheetml/2006/main" count="1125" uniqueCount="188">
  <si>
    <t>QTY</t>
  </si>
  <si>
    <t>MARKS</t>
  </si>
  <si>
    <t>FLOOR NO.</t>
  </si>
  <si>
    <t>OPENING MODE</t>
  </si>
  <si>
    <t>INT/EXT</t>
  </si>
  <si>
    <t>WALL TAG</t>
  </si>
  <si>
    <t>WALL TYPE</t>
  </si>
  <si>
    <t>WALL THICKNESS</t>
  </si>
  <si>
    <t>JAMB DEPTH</t>
  </si>
  <si>
    <t>DOOR WIDTH</t>
  </si>
  <si>
    <t>DOOR HEIGHT</t>
  </si>
  <si>
    <t>DOOR THICKNESS</t>
  </si>
  <si>
    <t>DOOR TYPE</t>
  </si>
  <si>
    <t>DR MATERIAL</t>
  </si>
  <si>
    <t>FRAME MATERIAL</t>
  </si>
  <si>
    <t>FIRE RATING</t>
  </si>
  <si>
    <t>DOOR HARDWARE SET</t>
  </si>
  <si>
    <t>COMMENTS</t>
  </si>
  <si>
    <t>UNIT MATRIX</t>
  </si>
  <si>
    <t>UNIT/FLOOR</t>
  </si>
  <si>
    <t>1ST FLOOR</t>
  </si>
  <si>
    <t>2ND FLOOR</t>
  </si>
  <si>
    <t>3RD FLOOR</t>
  </si>
  <si>
    <t>4TH FLOOR</t>
  </si>
  <si>
    <t>TYPE 2</t>
  </si>
  <si>
    <t>TYPE 2A</t>
  </si>
  <si>
    <t>TYPE 2B</t>
  </si>
  <si>
    <t>TYPE 2 ADA</t>
  </si>
  <si>
    <t>TYPE 3</t>
  </si>
  <si>
    <t>TYPE 3A</t>
  </si>
  <si>
    <t>TYPE 3B</t>
  </si>
  <si>
    <t>TYPE 3 ADA</t>
  </si>
  <si>
    <t>UNIT DOOR MATRIX</t>
  </si>
  <si>
    <t>U1</t>
  </si>
  <si>
    <t>U1A</t>
  </si>
  <si>
    <t>U2</t>
  </si>
  <si>
    <t>U2A</t>
  </si>
  <si>
    <t>U3</t>
  </si>
  <si>
    <t>U4</t>
  </si>
  <si>
    <t>U5</t>
  </si>
  <si>
    <t>U6</t>
  </si>
  <si>
    <t>U7</t>
  </si>
  <si>
    <t>U8</t>
  </si>
  <si>
    <t>U9</t>
  </si>
  <si>
    <t>U4A</t>
  </si>
  <si>
    <t>U4B</t>
  </si>
  <si>
    <t>TOTAL</t>
  </si>
  <si>
    <t>SUM</t>
  </si>
  <si>
    <r>
      <rPr>
        <sz val="10"/>
        <rFont val="Times New Roman"/>
        <family val="1"/>
      </rPr>
      <t>3' - 0"</t>
    </r>
  </si>
  <si>
    <r>
      <rPr>
        <sz val="10"/>
        <rFont val="Times New Roman"/>
        <family val="1"/>
      </rPr>
      <t>2' - 6"</t>
    </r>
  </si>
  <si>
    <r>
      <rPr>
        <sz val="10"/>
        <rFont val="Times New Roman"/>
        <family val="1"/>
      </rPr>
      <t>2' - 10"</t>
    </r>
  </si>
  <si>
    <r>
      <rPr>
        <sz val="10"/>
        <rFont val="Times New Roman"/>
        <family val="1"/>
      </rPr>
      <t>2' - 0"</t>
    </r>
  </si>
  <si>
    <r>
      <rPr>
        <sz val="10"/>
        <rFont val="Times New Roman"/>
        <family val="1"/>
      </rPr>
      <t>5' - 0"</t>
    </r>
  </si>
  <si>
    <r>
      <rPr>
        <sz val="10"/>
        <rFont val="Times New Roman"/>
        <family val="1"/>
      </rPr>
      <t>4' - 0"</t>
    </r>
  </si>
  <si>
    <r>
      <rPr>
        <sz val="10"/>
        <rFont val="Times New Roman"/>
        <family val="1"/>
      </rPr>
      <t>6' - 8"</t>
    </r>
  </si>
  <si>
    <r>
      <rPr>
        <sz val="10"/>
        <rFont val="Times New Roman"/>
        <family val="1"/>
      </rPr>
      <t>1 3/4"</t>
    </r>
  </si>
  <si>
    <r>
      <rPr>
        <sz val="10"/>
        <rFont val="Times New Roman"/>
        <family val="1"/>
      </rPr>
      <t>1 3/8"</t>
    </r>
  </si>
  <si>
    <r>
      <rPr>
        <sz val="10"/>
        <rFont val="Times New Roman"/>
        <family val="1"/>
      </rPr>
      <t>DOORS HAVE A CLEAR WIDTH OF 2' - 9 3/4"</t>
    </r>
  </si>
  <si>
    <t>FIBERGLASS</t>
  </si>
  <si>
    <r>
      <rPr>
        <sz val="10"/>
        <rFont val="Times New Roman"/>
        <family val="1"/>
      </rPr>
      <t>HOLLOW CORE WOOD</t>
    </r>
  </si>
  <si>
    <t>WOOD</t>
  </si>
  <si>
    <r>
      <rPr>
        <sz val="10"/>
        <rFont val="Times New Roman"/>
        <family val="1"/>
      </rPr>
      <t>90 MIN.</t>
    </r>
  </si>
  <si>
    <t>U-01</t>
  </si>
  <si>
    <t>U-02</t>
  </si>
  <si>
    <t>U-03</t>
  </si>
  <si>
    <t>U-04</t>
  </si>
  <si>
    <t>MARK</t>
  </si>
  <si>
    <t>SIZE</t>
  </si>
  <si>
    <t>WIDTH</t>
  </si>
  <si>
    <t>HEIGHT</t>
  </si>
  <si>
    <t>THICKNESS</t>
  </si>
  <si>
    <t>101A</t>
  </si>
  <si>
    <t>A</t>
  </si>
  <si>
    <t>101B</t>
  </si>
  <si>
    <t>F</t>
  </si>
  <si>
    <t>201A</t>
  </si>
  <si>
    <t>201B</t>
  </si>
  <si>
    <t>301A</t>
  </si>
  <si>
    <t>301B</t>
  </si>
  <si>
    <t>401A</t>
  </si>
  <si>
    <t>401B</t>
  </si>
  <si>
    <t>C101A</t>
  </si>
  <si>
    <t>C</t>
  </si>
  <si>
    <t>C102A</t>
  </si>
  <si>
    <t>H</t>
  </si>
  <si>
    <t>C102B</t>
  </si>
  <si>
    <t>C104A</t>
  </si>
  <si>
    <t>C105A</t>
  </si>
  <si>
    <t>C106A</t>
  </si>
  <si>
    <t>C106B</t>
  </si>
  <si>
    <t>E</t>
  </si>
  <si>
    <t>C106C</t>
  </si>
  <si>
    <t>C107A</t>
  </si>
  <si>
    <t>C108A</t>
  </si>
  <si>
    <t>C108B</t>
  </si>
  <si>
    <t>C109A</t>
  </si>
  <si>
    <t>C109B</t>
  </si>
  <si>
    <t>C109C</t>
  </si>
  <si>
    <t>U10</t>
  </si>
  <si>
    <t>C110A</t>
  </si>
  <si>
    <t>C110B</t>
  </si>
  <si>
    <t>C110C</t>
  </si>
  <si>
    <t>C111A</t>
  </si>
  <si>
    <t>C111B</t>
  </si>
  <si>
    <t>L</t>
  </si>
  <si>
    <t>1"</t>
  </si>
  <si>
    <t>C112A</t>
  </si>
  <si>
    <t>C113B</t>
  </si>
  <si>
    <t>G.01</t>
  </si>
  <si>
    <t>J</t>
  </si>
  <si>
    <t>G1</t>
  </si>
  <si>
    <t>G.02</t>
  </si>
  <si>
    <t>M101A</t>
  </si>
  <si>
    <t>G</t>
  </si>
  <si>
    <t>R1</t>
  </si>
  <si>
    <t>M102A</t>
  </si>
  <si>
    <t>M103A</t>
  </si>
  <si>
    <r>
      <rPr>
        <sz val="10"/>
        <rFont val="Times New Roman"/>
        <family val="1"/>
      </rPr>
      <t>DOOR SCHEDULE</t>
    </r>
  </si>
  <si>
    <r>
      <rPr>
        <sz val="10"/>
        <rFont val="Times New Roman"/>
        <family val="1"/>
      </rPr>
      <t>TYPE MARK</t>
    </r>
  </si>
  <si>
    <r>
      <rPr>
        <sz val="10"/>
        <rFont val="Times New Roman"/>
        <family val="1"/>
      </rPr>
      <t>FIRE RATING</t>
    </r>
  </si>
  <si>
    <r>
      <rPr>
        <sz val="10"/>
        <rFont val="Times New Roman"/>
        <family val="1"/>
      </rPr>
      <t>HARDWARE SET NO.</t>
    </r>
  </si>
  <si>
    <r>
      <rPr>
        <sz val="10"/>
        <rFont val="Times New Roman"/>
        <family val="1"/>
      </rPr>
      <t>7' - 0"</t>
    </r>
  </si>
  <si>
    <r>
      <rPr>
        <sz val="10"/>
        <rFont val="Times New Roman"/>
        <family val="1"/>
      </rPr>
      <t>2' - 8"</t>
    </r>
  </si>
  <si>
    <r>
      <rPr>
        <sz val="10"/>
        <rFont val="Times New Roman"/>
        <family val="1"/>
      </rPr>
      <t>ACCESS CONTROL</t>
    </r>
  </si>
  <si>
    <r>
      <rPr>
        <sz val="10"/>
        <rFont val="Times New Roman"/>
        <family val="1"/>
      </rPr>
      <t>2' - 4"</t>
    </r>
  </si>
  <si>
    <r>
      <rPr>
        <sz val="10"/>
        <rFont val="Times New Roman"/>
        <family val="1"/>
      </rPr>
      <t>2' - 7 1/2"</t>
    </r>
  </si>
  <si>
    <r>
      <rPr>
        <sz val="10"/>
        <rFont val="Times New Roman"/>
        <family val="1"/>
      </rPr>
      <t>6' - 6 3/4"</t>
    </r>
  </si>
  <si>
    <r>
      <rPr>
        <sz val="10"/>
        <rFont val="Times New Roman"/>
        <family val="1"/>
      </rPr>
      <t>POCKET DOOR</t>
    </r>
  </si>
  <si>
    <r>
      <rPr>
        <sz val="10"/>
        <rFont val="Times New Roman"/>
        <family val="1"/>
      </rPr>
      <t>FIRE RISER</t>
    </r>
  </si>
  <si>
    <r>
      <rPr>
        <sz val="10"/>
        <rFont val="Times New Roman"/>
        <family val="1"/>
      </rPr>
      <t>6' - 0"</t>
    </r>
  </si>
  <si>
    <r>
      <rPr>
        <sz val="10"/>
        <rFont val="Times New Roman"/>
        <family val="1"/>
      </rPr>
      <t>12' - 0"</t>
    </r>
  </si>
  <si>
    <r>
      <rPr>
        <sz val="10"/>
        <rFont val="Times New Roman"/>
        <family val="1"/>
      </rPr>
      <t>8' - 0"</t>
    </r>
  </si>
  <si>
    <r>
      <rPr>
        <sz val="10"/>
        <rFont val="Times New Roman"/>
        <family val="1"/>
      </rPr>
      <t>1 1/2"</t>
    </r>
  </si>
  <si>
    <r>
      <rPr>
        <sz val="10"/>
        <rFont val="Times New Roman"/>
        <family val="1"/>
      </rPr>
      <t>ELECTRIC OVERHEAD DOOR</t>
    </r>
  </si>
  <si>
    <r>
      <rPr>
        <sz val="10"/>
        <rFont val="Times New Roman"/>
        <family val="1"/>
      </rPr>
      <t>UNIT DOOR SCHEDULE</t>
    </r>
  </si>
  <si>
    <r>
      <rPr>
        <sz val="10"/>
        <rFont val="Times New Roman"/>
        <family val="1"/>
      </rPr>
      <t>PANEL TYPE</t>
    </r>
  </si>
  <si>
    <r>
      <rPr>
        <sz val="10"/>
        <rFont val="Times New Roman"/>
        <family val="1"/>
      </rPr>
      <t>FRAME TYPE</t>
    </r>
  </si>
  <si>
    <t>U3A</t>
  </si>
  <si>
    <t>U3B</t>
  </si>
  <si>
    <t>U3E9</t>
  </si>
  <si>
    <t>SWING</t>
  </si>
  <si>
    <t>-</t>
  </si>
  <si>
    <t>SGL</t>
  </si>
  <si>
    <t>PR</t>
  </si>
  <si>
    <t>INT</t>
  </si>
  <si>
    <t>E9</t>
  </si>
  <si>
    <t>B</t>
  </si>
  <si>
    <t>E6</t>
  </si>
  <si>
    <t>12-0</t>
  </si>
  <si>
    <t>2-0</t>
  </si>
  <si>
    <t>2-10</t>
  </si>
  <si>
    <t>2-4</t>
  </si>
  <si>
    <t>2-6</t>
  </si>
  <si>
    <t>2- 7 1/2</t>
  </si>
  <si>
    <t>2-8</t>
  </si>
  <si>
    <t>3-0</t>
  </si>
  <si>
    <t>4-0</t>
  </si>
  <si>
    <t>5-0</t>
  </si>
  <si>
    <t>6-0</t>
  </si>
  <si>
    <t>6- 6 3/4</t>
  </si>
  <si>
    <t>6-8</t>
  </si>
  <si>
    <t>7-0</t>
  </si>
  <si>
    <t>8-0</t>
  </si>
  <si>
    <t>1 1/2</t>
  </si>
  <si>
    <t>1 3/4</t>
  </si>
  <si>
    <t>1 3/8</t>
  </si>
  <si>
    <t>1</t>
  </si>
  <si>
    <r>
      <rPr>
        <sz val="10"/>
        <rFont val="Times New Roman"/>
        <family val="1"/>
      </rPr>
      <t>2</t>
    </r>
    <r>
      <rPr>
        <sz val="11"/>
        <color theme="1"/>
        <rFont val="Calibri"/>
        <family val="2"/>
        <scheme val="minor"/>
      </rPr>
      <t xml:space="preserve"> 3/4</t>
    </r>
  </si>
  <si>
    <r>
      <rPr>
        <sz val="10"/>
        <rFont val="Times New Roman"/>
        <family val="1"/>
      </rPr>
      <t>2</t>
    </r>
    <r>
      <rPr>
        <sz val="11"/>
        <color theme="1"/>
        <rFont val="Calibri"/>
        <family val="2"/>
        <scheme val="minor"/>
      </rPr>
      <t xml:space="preserve"> 3/8</t>
    </r>
  </si>
  <si>
    <r>
      <rPr>
        <sz val="10"/>
        <rFont val="Times New Roman"/>
        <family val="1"/>
      </rPr>
      <t>3</t>
    </r>
    <r>
      <rPr>
        <sz val="11"/>
        <color theme="1"/>
        <rFont val="Calibri"/>
        <family val="2"/>
        <scheme val="minor"/>
      </rPr>
      <t xml:space="preserve"> 3/4</t>
    </r>
  </si>
  <si>
    <t>IN</t>
  </si>
  <si>
    <t>OUT</t>
  </si>
  <si>
    <t>E2</t>
  </si>
  <si>
    <t>E4</t>
  </si>
  <si>
    <t>E3</t>
  </si>
  <si>
    <t>EXT</t>
  </si>
  <si>
    <t>BO</t>
  </si>
  <si>
    <t xml:space="preserve">- </t>
  </si>
  <si>
    <t>BARN</t>
  </si>
  <si>
    <t>E1</t>
  </si>
  <si>
    <t>GWB</t>
  </si>
  <si>
    <t>CMU</t>
  </si>
  <si>
    <t>FIRST</t>
  </si>
  <si>
    <t>SECOND</t>
  </si>
  <si>
    <t>THIRD</t>
  </si>
  <si>
    <t>FOURTH</t>
  </si>
  <si>
    <t>CLUBHOUSE</t>
  </si>
  <si>
    <t>MAINTENANCE 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</si>
</sst>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8"/>
      <name val="Times New Roman"/>
      <charset val="204"/>
    </font>
    <font>
      <sz val="8"/>
      <name val="Times New Roman"/>
      <family val="1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rgb="FFB8D0ED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5" borderId="8" xfId="0" applyFill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top"/>
    </xf>
    <xf numFmtId="49" fontId="3" fillId="0" borderId="8" xfId="0" applyNumberFormat="1" applyFont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shrinkToFit="1"/>
    </xf>
    <xf numFmtId="12" fontId="3" fillId="0" borderId="8" xfId="0" applyNumberFormat="1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49" fontId="7" fillId="0" borderId="8" xfId="0" applyNumberFormat="1" applyFont="1" applyBorder="1" applyAlignment="1">
      <alignment horizontal="center" vertical="center" wrapText="1"/>
    </xf>
    <xf numFmtId="12" fontId="7" fillId="0" borderId="8" xfId="0" applyNumberFormat="1" applyFont="1" applyBorder="1" applyAlignment="1">
      <alignment horizontal="center" vertical="top"/>
    </xf>
    <xf numFmtId="49" fontId="3" fillId="6" borderId="8" xfId="0" applyNumberFormat="1" applyFont="1" applyFill="1" applyBorder="1" applyAlignment="1">
      <alignment horizontal="center" vertical="center"/>
    </xf>
    <xf numFmtId="49" fontId="4" fillId="6" borderId="8" xfId="0" applyNumberFormat="1" applyFont="1" applyFill="1" applyBorder="1" applyAlignment="1">
      <alignment horizontal="center" vertical="center"/>
    </xf>
    <xf numFmtId="49" fontId="0" fillId="6" borderId="8" xfId="0" applyNumberForma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top"/>
    </xf>
    <xf numFmtId="0" fontId="3" fillId="6" borderId="8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top"/>
    </xf>
    <xf numFmtId="49" fontId="4" fillId="6" borderId="8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3" fillId="6" borderId="8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opLeftCell="A16" zoomScale="120" zoomScaleNormal="120" workbookViewId="0">
      <selection activeCell="H4" sqref="H4:H37"/>
    </sheetView>
  </sheetViews>
  <sheetFormatPr defaultRowHeight="13.2" x14ac:dyDescent="0.25"/>
  <cols>
    <col min="1" max="1" width="19.5546875" style="5" bestFit="1" customWidth="1"/>
    <col min="2" max="2" width="11.33203125" style="5" bestFit="1" customWidth="1"/>
    <col min="3" max="3" width="8.44140625" style="5" bestFit="1" customWidth="1"/>
    <col min="4" max="4" width="10.88671875" style="5" bestFit="1" customWidth="1"/>
    <col min="5" max="5" width="20.77734375" style="5" bestFit="1" customWidth="1"/>
    <col min="6" max="6" width="12.109375" style="5" bestFit="1" customWidth="1"/>
    <col min="7" max="7" width="18.77734375" style="5" bestFit="1" customWidth="1"/>
    <col min="8" max="8" width="26" style="5" bestFit="1" customWidth="1"/>
    <col min="9" max="9" width="38.44140625" style="5" bestFit="1" customWidth="1"/>
    <col min="10" max="16384" width="8.88671875" style="5"/>
  </cols>
  <sheetData>
    <row r="1" spans="1:8" x14ac:dyDescent="0.25">
      <c r="A1" s="40" t="s">
        <v>117</v>
      </c>
      <c r="B1" s="41"/>
      <c r="C1" s="41"/>
      <c r="D1" s="41"/>
      <c r="E1" s="41"/>
      <c r="F1" s="41"/>
      <c r="G1" s="41"/>
      <c r="H1" s="42"/>
    </row>
    <row r="2" spans="1:8" x14ac:dyDescent="0.25">
      <c r="A2" s="48" t="s">
        <v>66</v>
      </c>
      <c r="B2" s="43" t="s">
        <v>118</v>
      </c>
      <c r="C2" s="45" t="s">
        <v>67</v>
      </c>
      <c r="D2" s="46"/>
      <c r="E2" s="47"/>
      <c r="F2" s="43" t="s">
        <v>119</v>
      </c>
      <c r="G2" s="43" t="s">
        <v>120</v>
      </c>
      <c r="H2" s="48" t="s">
        <v>17</v>
      </c>
    </row>
    <row r="3" spans="1:8" x14ac:dyDescent="0.25">
      <c r="A3" s="49"/>
      <c r="B3" s="44"/>
      <c r="C3" s="13" t="s">
        <v>68</v>
      </c>
      <c r="D3" s="13" t="s">
        <v>69</v>
      </c>
      <c r="E3" s="13" t="s">
        <v>70</v>
      </c>
      <c r="F3" s="44"/>
      <c r="G3" s="44"/>
      <c r="H3" s="49"/>
    </row>
    <row r="4" spans="1:8" x14ac:dyDescent="0.25">
      <c r="A4" s="14" t="s">
        <v>71</v>
      </c>
      <c r="B4" s="14" t="s">
        <v>72</v>
      </c>
      <c r="C4" s="12" t="s">
        <v>48</v>
      </c>
      <c r="D4" s="12" t="s">
        <v>121</v>
      </c>
      <c r="E4" s="12" t="s">
        <v>55</v>
      </c>
      <c r="F4" s="12"/>
      <c r="G4" s="15">
        <v>4</v>
      </c>
      <c r="H4" s="12"/>
    </row>
    <row r="5" spans="1:8" x14ac:dyDescent="0.25">
      <c r="A5" s="13" t="s">
        <v>73</v>
      </c>
      <c r="B5" s="13" t="s">
        <v>74</v>
      </c>
      <c r="C5" s="11" t="s">
        <v>122</v>
      </c>
      <c r="D5" s="11" t="s">
        <v>54</v>
      </c>
      <c r="E5" s="11" t="s">
        <v>55</v>
      </c>
      <c r="F5" s="11"/>
      <c r="G5" s="16">
        <v>4</v>
      </c>
      <c r="H5" s="11"/>
    </row>
    <row r="6" spans="1:8" x14ac:dyDescent="0.25">
      <c r="A6" s="14" t="s">
        <v>75</v>
      </c>
      <c r="B6" s="14" t="s">
        <v>74</v>
      </c>
      <c r="C6" s="12" t="s">
        <v>122</v>
      </c>
      <c r="D6" s="12" t="s">
        <v>54</v>
      </c>
      <c r="E6" s="12" t="s">
        <v>55</v>
      </c>
      <c r="F6" s="12"/>
      <c r="G6" s="15">
        <v>4</v>
      </c>
      <c r="H6" s="12"/>
    </row>
    <row r="7" spans="1:8" x14ac:dyDescent="0.25">
      <c r="A7" s="13" t="s">
        <v>76</v>
      </c>
      <c r="B7" s="13" t="s">
        <v>74</v>
      </c>
      <c r="C7" s="11" t="s">
        <v>122</v>
      </c>
      <c r="D7" s="11" t="s">
        <v>54</v>
      </c>
      <c r="E7" s="11" t="s">
        <v>55</v>
      </c>
      <c r="F7" s="11"/>
      <c r="G7" s="16">
        <v>4</v>
      </c>
      <c r="H7" s="11"/>
    </row>
    <row r="8" spans="1:8" x14ac:dyDescent="0.25">
      <c r="A8" s="14" t="s">
        <v>77</v>
      </c>
      <c r="B8" s="14" t="s">
        <v>74</v>
      </c>
      <c r="C8" s="12" t="s">
        <v>122</v>
      </c>
      <c r="D8" s="12" t="s">
        <v>54</v>
      </c>
      <c r="E8" s="12" t="s">
        <v>55</v>
      </c>
      <c r="F8" s="12"/>
      <c r="G8" s="15">
        <v>4</v>
      </c>
      <c r="H8" s="12"/>
    </row>
    <row r="9" spans="1:8" x14ac:dyDescent="0.25">
      <c r="A9" s="13" t="s">
        <v>78</v>
      </c>
      <c r="B9" s="13" t="s">
        <v>74</v>
      </c>
      <c r="C9" s="11" t="s">
        <v>122</v>
      </c>
      <c r="D9" s="11" t="s">
        <v>54</v>
      </c>
      <c r="E9" s="11" t="s">
        <v>55</v>
      </c>
      <c r="F9" s="11"/>
      <c r="G9" s="16">
        <v>4</v>
      </c>
      <c r="H9" s="11"/>
    </row>
    <row r="10" spans="1:8" x14ac:dyDescent="0.25">
      <c r="A10" s="14" t="s">
        <v>79</v>
      </c>
      <c r="B10" s="14" t="s">
        <v>74</v>
      </c>
      <c r="C10" s="12" t="s">
        <v>122</v>
      </c>
      <c r="D10" s="12" t="s">
        <v>54</v>
      </c>
      <c r="E10" s="12" t="s">
        <v>55</v>
      </c>
      <c r="F10" s="12"/>
      <c r="G10" s="15">
        <v>4</v>
      </c>
      <c r="H10" s="12"/>
    </row>
    <row r="11" spans="1:8" x14ac:dyDescent="0.25">
      <c r="A11" s="13" t="s">
        <v>80</v>
      </c>
      <c r="B11" s="13" t="s">
        <v>74</v>
      </c>
      <c r="C11" s="11" t="s">
        <v>122</v>
      </c>
      <c r="D11" s="11" t="s">
        <v>54</v>
      </c>
      <c r="E11" s="11" t="s">
        <v>55</v>
      </c>
      <c r="F11" s="11"/>
      <c r="G11" s="16">
        <v>4</v>
      </c>
      <c r="H11" s="11"/>
    </row>
    <row r="12" spans="1:8" x14ac:dyDescent="0.25">
      <c r="A12" s="14" t="s">
        <v>81</v>
      </c>
      <c r="B12" s="14" t="s">
        <v>82</v>
      </c>
      <c r="C12" s="12" t="s">
        <v>52</v>
      </c>
      <c r="D12" s="12" t="s">
        <v>121</v>
      </c>
      <c r="E12" s="12" t="s">
        <v>55</v>
      </c>
      <c r="F12" s="12"/>
      <c r="G12" s="15">
        <v>1</v>
      </c>
      <c r="H12" s="12" t="s">
        <v>123</v>
      </c>
    </row>
    <row r="13" spans="1:8" x14ac:dyDescent="0.25">
      <c r="A13" s="13" t="s">
        <v>83</v>
      </c>
      <c r="B13" s="13" t="s">
        <v>84</v>
      </c>
      <c r="C13" s="11" t="s">
        <v>48</v>
      </c>
      <c r="D13" s="11" t="s">
        <v>121</v>
      </c>
      <c r="E13" s="11" t="s">
        <v>55</v>
      </c>
      <c r="F13" s="11"/>
      <c r="G13" s="16">
        <v>3</v>
      </c>
      <c r="H13" s="11" t="s">
        <v>123</v>
      </c>
    </row>
    <row r="14" spans="1:8" x14ac:dyDescent="0.25">
      <c r="A14" s="14" t="s">
        <v>85</v>
      </c>
      <c r="B14" s="14" t="s">
        <v>84</v>
      </c>
      <c r="C14" s="12" t="s">
        <v>48</v>
      </c>
      <c r="D14" s="12" t="s">
        <v>121</v>
      </c>
      <c r="E14" s="12" t="s">
        <v>55</v>
      </c>
      <c r="F14" s="12"/>
      <c r="G14" s="15">
        <v>3</v>
      </c>
      <c r="H14" s="12" t="s">
        <v>123</v>
      </c>
    </row>
    <row r="15" spans="1:8" x14ac:dyDescent="0.25">
      <c r="A15" s="13" t="s">
        <v>86</v>
      </c>
      <c r="B15" s="13" t="s">
        <v>72</v>
      </c>
      <c r="C15" s="11" t="s">
        <v>48</v>
      </c>
      <c r="D15" s="11" t="s">
        <v>121</v>
      </c>
      <c r="E15" s="11" t="s">
        <v>56</v>
      </c>
      <c r="F15" s="11"/>
      <c r="G15" s="17">
        <v>15</v>
      </c>
      <c r="H15" s="11"/>
    </row>
    <row r="16" spans="1:8" x14ac:dyDescent="0.25">
      <c r="A16" s="14" t="s">
        <v>87</v>
      </c>
      <c r="B16" s="14" t="s">
        <v>84</v>
      </c>
      <c r="C16" s="12" t="s">
        <v>48</v>
      </c>
      <c r="D16" s="12" t="s">
        <v>121</v>
      </c>
      <c r="E16" s="12" t="s">
        <v>55</v>
      </c>
      <c r="F16" s="12"/>
      <c r="G16" s="15">
        <v>2</v>
      </c>
      <c r="H16" s="12" t="s">
        <v>123</v>
      </c>
    </row>
    <row r="17" spans="1:8" x14ac:dyDescent="0.25">
      <c r="A17" s="13" t="s">
        <v>88</v>
      </c>
      <c r="B17" s="13" t="s">
        <v>72</v>
      </c>
      <c r="C17" s="11" t="s">
        <v>48</v>
      </c>
      <c r="D17" s="11" t="s">
        <v>121</v>
      </c>
      <c r="E17" s="11" t="s">
        <v>55</v>
      </c>
      <c r="F17" s="11"/>
      <c r="G17" s="17">
        <v>16</v>
      </c>
      <c r="H17" s="11"/>
    </row>
    <row r="18" spans="1:8" x14ac:dyDescent="0.25">
      <c r="A18" s="14" t="s">
        <v>89</v>
      </c>
      <c r="B18" s="14" t="s">
        <v>90</v>
      </c>
      <c r="C18" s="12" t="s">
        <v>124</v>
      </c>
      <c r="D18" s="12" t="s">
        <v>121</v>
      </c>
      <c r="E18" s="12" t="s">
        <v>56</v>
      </c>
      <c r="F18" s="12"/>
      <c r="G18" s="15">
        <v>5</v>
      </c>
      <c r="H18" s="12"/>
    </row>
    <row r="19" spans="1:8" x14ac:dyDescent="0.25">
      <c r="A19" s="13" t="s">
        <v>91</v>
      </c>
      <c r="B19" s="13" t="s">
        <v>90</v>
      </c>
      <c r="C19" s="11" t="s">
        <v>124</v>
      </c>
      <c r="D19" s="11" t="s">
        <v>121</v>
      </c>
      <c r="E19" s="11" t="s">
        <v>56</v>
      </c>
      <c r="F19" s="11"/>
      <c r="G19" s="16">
        <v>6</v>
      </c>
      <c r="H19" s="11"/>
    </row>
    <row r="20" spans="1:8" x14ac:dyDescent="0.25">
      <c r="A20" s="14" t="s">
        <v>92</v>
      </c>
      <c r="B20" s="14" t="s">
        <v>84</v>
      </c>
      <c r="C20" s="12" t="s">
        <v>48</v>
      </c>
      <c r="D20" s="12" t="s">
        <v>121</v>
      </c>
      <c r="E20" s="12" t="s">
        <v>56</v>
      </c>
      <c r="F20" s="12"/>
      <c r="G20" s="18">
        <v>14</v>
      </c>
      <c r="H20" s="12" t="s">
        <v>123</v>
      </c>
    </row>
    <row r="21" spans="1:8" x14ac:dyDescent="0.25">
      <c r="A21" s="13" t="s">
        <v>93</v>
      </c>
      <c r="B21" s="13" t="s">
        <v>72</v>
      </c>
      <c r="C21" s="11" t="s">
        <v>48</v>
      </c>
      <c r="D21" s="11" t="s">
        <v>121</v>
      </c>
      <c r="E21" s="11" t="s">
        <v>56</v>
      </c>
      <c r="F21" s="11"/>
      <c r="G21" s="17">
        <v>11</v>
      </c>
      <c r="H21" s="11"/>
    </row>
    <row r="22" spans="1:8" x14ac:dyDescent="0.25">
      <c r="A22" s="14" t="s">
        <v>94</v>
      </c>
      <c r="B22" s="14" t="s">
        <v>84</v>
      </c>
      <c r="C22" s="12" t="s">
        <v>48</v>
      </c>
      <c r="D22" s="12" t="s">
        <v>121</v>
      </c>
      <c r="E22" s="12" t="s">
        <v>55</v>
      </c>
      <c r="F22" s="12"/>
      <c r="G22" s="18">
        <v>12</v>
      </c>
      <c r="H22" s="12"/>
    </row>
    <row r="23" spans="1:8" x14ac:dyDescent="0.25">
      <c r="A23" s="13" t="s">
        <v>95</v>
      </c>
      <c r="B23" s="13" t="s">
        <v>72</v>
      </c>
      <c r="C23" s="11" t="s">
        <v>48</v>
      </c>
      <c r="D23" s="11" t="s">
        <v>121</v>
      </c>
      <c r="E23" s="11" t="s">
        <v>56</v>
      </c>
      <c r="F23" s="11"/>
      <c r="G23" s="16">
        <v>7</v>
      </c>
      <c r="H23" s="11"/>
    </row>
    <row r="24" spans="1:8" x14ac:dyDescent="0.25">
      <c r="A24" s="14" t="s">
        <v>96</v>
      </c>
      <c r="B24" s="14" t="s">
        <v>72</v>
      </c>
      <c r="C24" s="12" t="s">
        <v>48</v>
      </c>
      <c r="D24" s="12" t="s">
        <v>121</v>
      </c>
      <c r="E24" s="12" t="s">
        <v>55</v>
      </c>
      <c r="F24" s="12"/>
      <c r="G24" s="18">
        <v>13</v>
      </c>
      <c r="H24" s="12"/>
    </row>
    <row r="25" spans="1:8" x14ac:dyDescent="0.25">
      <c r="A25" s="13" t="s">
        <v>97</v>
      </c>
      <c r="B25" s="13" t="s">
        <v>98</v>
      </c>
      <c r="C25" s="11" t="s">
        <v>50</v>
      </c>
      <c r="D25" s="11" t="s">
        <v>121</v>
      </c>
      <c r="E25" s="11" t="s">
        <v>56</v>
      </c>
      <c r="F25" s="11"/>
      <c r="G25" s="16">
        <v>8</v>
      </c>
      <c r="H25" s="11"/>
    </row>
    <row r="26" spans="1:8" x14ac:dyDescent="0.25">
      <c r="A26" s="14" t="s">
        <v>99</v>
      </c>
      <c r="B26" s="14" t="s">
        <v>72</v>
      </c>
      <c r="C26" s="12" t="s">
        <v>48</v>
      </c>
      <c r="D26" s="12" t="s">
        <v>121</v>
      </c>
      <c r="E26" s="12" t="s">
        <v>56</v>
      </c>
      <c r="F26" s="12"/>
      <c r="G26" s="15">
        <v>7</v>
      </c>
      <c r="H26" s="12"/>
    </row>
    <row r="27" spans="1:8" x14ac:dyDescent="0.25">
      <c r="A27" s="13" t="s">
        <v>100</v>
      </c>
      <c r="B27" s="13" t="s">
        <v>72</v>
      </c>
      <c r="C27" s="11" t="s">
        <v>48</v>
      </c>
      <c r="D27" s="11" t="s">
        <v>121</v>
      </c>
      <c r="E27" s="11" t="s">
        <v>55</v>
      </c>
      <c r="F27" s="11"/>
      <c r="G27" s="17">
        <v>13</v>
      </c>
      <c r="H27" s="11"/>
    </row>
    <row r="28" spans="1:8" x14ac:dyDescent="0.25">
      <c r="A28" s="14" t="s">
        <v>101</v>
      </c>
      <c r="B28" s="14" t="s">
        <v>98</v>
      </c>
      <c r="C28" s="12" t="s">
        <v>50</v>
      </c>
      <c r="D28" s="12" t="s">
        <v>121</v>
      </c>
      <c r="E28" s="12" t="s">
        <v>56</v>
      </c>
      <c r="F28" s="12"/>
      <c r="G28" s="15">
        <v>8</v>
      </c>
      <c r="H28" s="12"/>
    </row>
    <row r="29" spans="1:8" x14ac:dyDescent="0.25">
      <c r="A29" s="13" t="s">
        <v>102</v>
      </c>
      <c r="B29" s="13" t="s">
        <v>72</v>
      </c>
      <c r="C29" s="11" t="s">
        <v>48</v>
      </c>
      <c r="D29" s="11" t="s">
        <v>121</v>
      </c>
      <c r="E29" s="11" t="s">
        <v>56</v>
      </c>
      <c r="F29" s="11"/>
      <c r="G29" s="16">
        <v>9</v>
      </c>
      <c r="H29" s="11"/>
    </row>
    <row r="30" spans="1:8" x14ac:dyDescent="0.25">
      <c r="A30" s="14" t="s">
        <v>103</v>
      </c>
      <c r="B30" s="14" t="s">
        <v>104</v>
      </c>
      <c r="C30" s="12" t="s">
        <v>125</v>
      </c>
      <c r="D30" s="12" t="s">
        <v>126</v>
      </c>
      <c r="E30" s="14" t="s">
        <v>105</v>
      </c>
      <c r="F30" s="12"/>
      <c r="G30" s="18">
        <v>10</v>
      </c>
      <c r="H30" s="12" t="s">
        <v>127</v>
      </c>
    </row>
    <row r="31" spans="1:8" x14ac:dyDescent="0.25">
      <c r="A31" s="13" t="s">
        <v>106</v>
      </c>
      <c r="B31" s="13" t="s">
        <v>98</v>
      </c>
      <c r="C31" s="11" t="s">
        <v>50</v>
      </c>
      <c r="D31" s="11" t="s">
        <v>121</v>
      </c>
      <c r="E31" s="11" t="s">
        <v>56</v>
      </c>
      <c r="F31" s="11"/>
      <c r="G31" s="17">
        <v>17</v>
      </c>
      <c r="H31" s="11"/>
    </row>
    <row r="32" spans="1:8" x14ac:dyDescent="0.25">
      <c r="A32" s="14" t="s">
        <v>107</v>
      </c>
      <c r="B32" s="14" t="s">
        <v>72</v>
      </c>
      <c r="C32" s="12" t="s">
        <v>48</v>
      </c>
      <c r="D32" s="12" t="s">
        <v>121</v>
      </c>
      <c r="E32" s="12" t="s">
        <v>55</v>
      </c>
      <c r="F32" s="12"/>
      <c r="G32" s="15">
        <v>4</v>
      </c>
      <c r="H32" s="12" t="s">
        <v>128</v>
      </c>
    </row>
    <row r="33" spans="1:9" x14ac:dyDescent="0.25">
      <c r="A33" s="13" t="s">
        <v>108</v>
      </c>
      <c r="B33" s="13" t="s">
        <v>109</v>
      </c>
      <c r="C33" s="11" t="s">
        <v>53</v>
      </c>
      <c r="D33" s="11" t="s">
        <v>129</v>
      </c>
      <c r="E33" s="11"/>
      <c r="F33" s="11"/>
      <c r="G33" s="13" t="s">
        <v>110</v>
      </c>
      <c r="H33" s="11"/>
    </row>
    <row r="34" spans="1:9" x14ac:dyDescent="0.25">
      <c r="A34" s="14" t="s">
        <v>111</v>
      </c>
      <c r="B34" s="14" t="s">
        <v>109</v>
      </c>
      <c r="C34" s="12" t="s">
        <v>53</v>
      </c>
      <c r="D34" s="12" t="s">
        <v>129</v>
      </c>
      <c r="E34" s="12"/>
      <c r="F34" s="12"/>
      <c r="G34" s="14" t="s">
        <v>110</v>
      </c>
      <c r="H34" s="12"/>
    </row>
    <row r="35" spans="1:9" x14ac:dyDescent="0.25">
      <c r="A35" s="14" t="s">
        <v>112</v>
      </c>
      <c r="B35" s="14" t="s">
        <v>113</v>
      </c>
      <c r="C35" s="12" t="s">
        <v>130</v>
      </c>
      <c r="D35" s="12" t="s">
        <v>131</v>
      </c>
      <c r="E35" s="12" t="s">
        <v>132</v>
      </c>
      <c r="F35" s="12"/>
      <c r="G35" s="14" t="s">
        <v>114</v>
      </c>
      <c r="H35" s="12" t="s">
        <v>133</v>
      </c>
    </row>
    <row r="36" spans="1:9" x14ac:dyDescent="0.25">
      <c r="A36" s="13" t="s">
        <v>115</v>
      </c>
      <c r="B36" s="13" t="s">
        <v>72</v>
      </c>
      <c r="C36" s="11" t="s">
        <v>48</v>
      </c>
      <c r="D36" s="11" t="s">
        <v>121</v>
      </c>
      <c r="E36" s="11" t="s">
        <v>55</v>
      </c>
      <c r="F36" s="11"/>
      <c r="G36" s="16">
        <v>4</v>
      </c>
      <c r="H36" s="11"/>
    </row>
    <row r="37" spans="1:9" x14ac:dyDescent="0.25">
      <c r="A37" s="14" t="s">
        <v>116</v>
      </c>
      <c r="B37" s="14" t="s">
        <v>72</v>
      </c>
      <c r="C37" s="12" t="s">
        <v>48</v>
      </c>
      <c r="D37" s="12" t="s">
        <v>121</v>
      </c>
      <c r="E37" s="12" t="s">
        <v>56</v>
      </c>
      <c r="F37" s="12"/>
      <c r="G37" s="15">
        <v>6</v>
      </c>
      <c r="H37" s="12"/>
    </row>
    <row r="42" spans="1:9" x14ac:dyDescent="0.25">
      <c r="A42" s="40" t="s">
        <v>134</v>
      </c>
      <c r="B42" s="41"/>
      <c r="C42" s="41"/>
      <c r="D42" s="41"/>
      <c r="E42" s="41"/>
      <c r="F42" s="41"/>
      <c r="G42" s="41"/>
      <c r="H42" s="41"/>
      <c r="I42" s="42"/>
    </row>
    <row r="43" spans="1:9" x14ac:dyDescent="0.25">
      <c r="A43" s="43" t="s">
        <v>118</v>
      </c>
      <c r="B43" s="45" t="s">
        <v>67</v>
      </c>
      <c r="C43" s="46"/>
      <c r="D43" s="47"/>
      <c r="E43" s="43" t="s">
        <v>135</v>
      </c>
      <c r="F43" s="43" t="s">
        <v>136</v>
      </c>
      <c r="G43" s="43" t="s">
        <v>119</v>
      </c>
      <c r="H43" s="43" t="s">
        <v>120</v>
      </c>
      <c r="I43" s="48" t="s">
        <v>17</v>
      </c>
    </row>
    <row r="44" spans="1:9" x14ac:dyDescent="0.25">
      <c r="A44" s="44"/>
      <c r="B44" s="13" t="s">
        <v>68</v>
      </c>
      <c r="C44" s="13" t="s">
        <v>69</v>
      </c>
      <c r="D44" s="13" t="s">
        <v>70</v>
      </c>
      <c r="E44" s="44"/>
      <c r="F44" s="44"/>
      <c r="G44" s="44"/>
      <c r="H44" s="44"/>
      <c r="I44" s="49"/>
    </row>
    <row r="45" spans="1:9" x14ac:dyDescent="0.25">
      <c r="A45" s="13" t="s">
        <v>33</v>
      </c>
      <c r="B45" s="11" t="s">
        <v>48</v>
      </c>
      <c r="C45" s="11" t="s">
        <v>54</v>
      </c>
      <c r="D45" s="11" t="s">
        <v>55</v>
      </c>
      <c r="E45" s="13" t="s">
        <v>58</v>
      </c>
      <c r="F45" s="13" t="s">
        <v>60</v>
      </c>
      <c r="G45" s="11" t="s">
        <v>61</v>
      </c>
      <c r="H45" s="13" t="s">
        <v>62</v>
      </c>
      <c r="I45" s="11" t="s">
        <v>57</v>
      </c>
    </row>
    <row r="46" spans="1:9" x14ac:dyDescent="0.25">
      <c r="A46" s="14" t="s">
        <v>34</v>
      </c>
      <c r="B46" s="12" t="s">
        <v>48</v>
      </c>
      <c r="C46" s="12" t="s">
        <v>54</v>
      </c>
      <c r="D46" s="12" t="s">
        <v>55</v>
      </c>
      <c r="E46" s="14" t="s">
        <v>58</v>
      </c>
      <c r="F46" s="14" t="s">
        <v>60</v>
      </c>
      <c r="G46" s="12" t="s">
        <v>61</v>
      </c>
      <c r="H46" s="14" t="s">
        <v>62</v>
      </c>
      <c r="I46" s="12" t="s">
        <v>57</v>
      </c>
    </row>
    <row r="47" spans="1:9" x14ac:dyDescent="0.25">
      <c r="A47" s="13" t="s">
        <v>35</v>
      </c>
      <c r="B47" s="11" t="s">
        <v>48</v>
      </c>
      <c r="C47" s="11" t="s">
        <v>54</v>
      </c>
      <c r="D47" s="11" t="s">
        <v>56</v>
      </c>
      <c r="E47" s="11" t="s">
        <v>59</v>
      </c>
      <c r="F47" s="13" t="s">
        <v>60</v>
      </c>
      <c r="G47" s="11"/>
      <c r="H47" s="13" t="s">
        <v>63</v>
      </c>
      <c r="I47" s="11" t="s">
        <v>57</v>
      </c>
    </row>
    <row r="48" spans="1:9" x14ac:dyDescent="0.25">
      <c r="A48" s="14" t="s">
        <v>36</v>
      </c>
      <c r="B48" s="12" t="s">
        <v>48</v>
      </c>
      <c r="C48" s="12" t="s">
        <v>54</v>
      </c>
      <c r="D48" s="12" t="s">
        <v>56</v>
      </c>
      <c r="E48" s="12" t="s">
        <v>59</v>
      </c>
      <c r="F48" s="14" t="s">
        <v>60</v>
      </c>
      <c r="G48" s="12"/>
      <c r="H48" s="14" t="s">
        <v>64</v>
      </c>
      <c r="I48" s="12" t="s">
        <v>57</v>
      </c>
    </row>
    <row r="49" spans="1:9" x14ac:dyDescent="0.25">
      <c r="A49" s="13" t="s">
        <v>37</v>
      </c>
      <c r="B49" s="11" t="s">
        <v>49</v>
      </c>
      <c r="C49" s="11" t="s">
        <v>54</v>
      </c>
      <c r="D49" s="11" t="s">
        <v>55</v>
      </c>
      <c r="E49" s="11" t="s">
        <v>59</v>
      </c>
      <c r="F49" s="13" t="s">
        <v>60</v>
      </c>
      <c r="G49" s="11"/>
      <c r="H49" s="11"/>
      <c r="I49" s="11"/>
    </row>
    <row r="50" spans="1:9" x14ac:dyDescent="0.25">
      <c r="A50" s="14" t="s">
        <v>38</v>
      </c>
      <c r="B50" s="12" t="s">
        <v>50</v>
      </c>
      <c r="C50" s="12" t="s">
        <v>54</v>
      </c>
      <c r="D50" s="12" t="s">
        <v>56</v>
      </c>
      <c r="E50" s="12" t="s">
        <v>59</v>
      </c>
      <c r="F50" s="14" t="s">
        <v>60</v>
      </c>
      <c r="G50" s="12"/>
      <c r="H50" s="14" t="s">
        <v>64</v>
      </c>
      <c r="I50" s="12"/>
    </row>
    <row r="51" spans="1:9" x14ac:dyDescent="0.25">
      <c r="A51" s="13" t="s">
        <v>39</v>
      </c>
      <c r="B51" s="11" t="s">
        <v>51</v>
      </c>
      <c r="C51" s="11" t="s">
        <v>54</v>
      </c>
      <c r="D51" s="11" t="s">
        <v>56</v>
      </c>
      <c r="E51" s="11" t="s">
        <v>59</v>
      </c>
      <c r="F51" s="13" t="s">
        <v>60</v>
      </c>
      <c r="G51" s="11"/>
      <c r="H51" s="13" t="s">
        <v>64</v>
      </c>
      <c r="I51" s="11"/>
    </row>
    <row r="52" spans="1:9" x14ac:dyDescent="0.25">
      <c r="A52" s="14" t="s">
        <v>40</v>
      </c>
      <c r="B52" s="12" t="s">
        <v>48</v>
      </c>
      <c r="C52" s="12" t="s">
        <v>54</v>
      </c>
      <c r="D52" s="12" t="s">
        <v>56</v>
      </c>
      <c r="E52" s="12" t="s">
        <v>59</v>
      </c>
      <c r="F52" s="14" t="s">
        <v>60</v>
      </c>
      <c r="G52" s="12"/>
      <c r="H52" s="14" t="s">
        <v>63</v>
      </c>
      <c r="I52" s="12" t="s">
        <v>57</v>
      </c>
    </row>
    <row r="53" spans="1:9" x14ac:dyDescent="0.25">
      <c r="A53" s="13" t="s">
        <v>41</v>
      </c>
      <c r="B53" s="11" t="s">
        <v>52</v>
      </c>
      <c r="C53" s="11" t="s">
        <v>54</v>
      </c>
      <c r="D53" s="11" t="s">
        <v>56</v>
      </c>
      <c r="E53" s="11" t="s">
        <v>59</v>
      </c>
      <c r="F53" s="13" t="s">
        <v>60</v>
      </c>
      <c r="G53" s="11"/>
      <c r="H53" s="13" t="s">
        <v>65</v>
      </c>
      <c r="I53" s="11"/>
    </row>
    <row r="54" spans="1:9" x14ac:dyDescent="0.25">
      <c r="A54" s="14" t="s">
        <v>42</v>
      </c>
      <c r="B54" s="12" t="s">
        <v>53</v>
      </c>
      <c r="C54" s="12" t="s">
        <v>54</v>
      </c>
      <c r="D54" s="12" t="s">
        <v>56</v>
      </c>
      <c r="E54" s="12" t="s">
        <v>59</v>
      </c>
      <c r="F54" s="14" t="s">
        <v>60</v>
      </c>
      <c r="G54" s="12"/>
      <c r="H54" s="14" t="s">
        <v>65</v>
      </c>
      <c r="I54" s="12"/>
    </row>
    <row r="55" spans="1:9" x14ac:dyDescent="0.25">
      <c r="A55" s="13" t="s">
        <v>43</v>
      </c>
      <c r="B55" s="11" t="s">
        <v>48</v>
      </c>
      <c r="C55" s="11" t="s">
        <v>54</v>
      </c>
      <c r="D55" s="11" t="s">
        <v>56</v>
      </c>
      <c r="E55" s="11" t="s">
        <v>59</v>
      </c>
      <c r="F55" s="13" t="s">
        <v>60</v>
      </c>
      <c r="G55" s="11"/>
      <c r="H55" s="13" t="s">
        <v>64</v>
      </c>
      <c r="I55" s="11" t="s">
        <v>57</v>
      </c>
    </row>
    <row r="56" spans="1:9" x14ac:dyDescent="0.25">
      <c r="A56" s="39"/>
      <c r="B56" s="39"/>
      <c r="C56" s="39"/>
      <c r="D56" s="39"/>
      <c r="E56" s="39"/>
      <c r="F56" s="39"/>
      <c r="G56" s="39"/>
      <c r="H56" s="39"/>
      <c r="I56" s="39"/>
    </row>
  </sheetData>
  <mergeCells count="16">
    <mergeCell ref="A1:H1"/>
    <mergeCell ref="A2:A3"/>
    <mergeCell ref="B2:B3"/>
    <mergeCell ref="C2:E2"/>
    <mergeCell ref="F2:F3"/>
    <mergeCell ref="G2:G3"/>
    <mergeCell ref="H2:H3"/>
    <mergeCell ref="A56:I56"/>
    <mergeCell ref="A42:I42"/>
    <mergeCell ref="A43:A44"/>
    <mergeCell ref="B43:D43"/>
    <mergeCell ref="E43:E44"/>
    <mergeCell ref="F43:F44"/>
    <mergeCell ref="G43:G44"/>
    <mergeCell ref="H43:H44"/>
    <mergeCell ref="I43:I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8A23-6532-490C-AFEF-ABF45F04E437}">
  <dimension ref="A1:S51"/>
  <sheetViews>
    <sheetView tabSelected="1" workbookViewId="0">
      <selection activeCell="F1" sqref="F1"/>
    </sheetView>
  </sheetViews>
  <sheetFormatPr defaultRowHeight="13.2" x14ac:dyDescent="0.25"/>
  <cols>
    <col min="1" max="1" width="4.77734375" style="7" bestFit="1" customWidth="1"/>
    <col min="2" max="2" width="7.6640625" bestFit="1" customWidth="1"/>
    <col min="3" max="3" width="19.5546875" bestFit="1" customWidth="1"/>
    <col min="4" max="4" width="16.109375" bestFit="1" customWidth="1"/>
    <col min="5" max="5" width="7.33203125" bestFit="1" customWidth="1"/>
    <col min="6" max="6" width="8.33203125" bestFit="1" customWidth="1"/>
    <col min="7" max="7" width="10.77734375" bestFit="1" customWidth="1"/>
    <col min="8" max="8" width="11.6640625" bestFit="1" customWidth="1"/>
    <col min="9" max="9" width="17.5546875" bestFit="1" customWidth="1"/>
    <col min="10" max="10" width="13.21875" bestFit="1" customWidth="1"/>
    <col min="11" max="11" width="13.44140625" bestFit="1" customWidth="1"/>
    <col min="12" max="12" width="14.5546875" bestFit="1" customWidth="1"/>
    <col min="13" max="13" width="17.6640625" bestFit="1" customWidth="1"/>
    <col min="14" max="14" width="11.77734375" bestFit="1" customWidth="1"/>
    <col min="15" max="15" width="20.77734375" bestFit="1" customWidth="1"/>
    <col min="16" max="16" width="18.21875" bestFit="1" customWidth="1"/>
    <col min="17" max="17" width="13.21875" bestFit="1" customWidth="1"/>
    <col min="18" max="18" width="22" bestFit="1" customWidth="1"/>
    <col min="19" max="19" width="38.44140625" bestFit="1" customWidth="1"/>
  </cols>
  <sheetData>
    <row r="1" spans="1:19" s="5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140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</row>
    <row r="2" spans="1:19" x14ac:dyDescent="0.25">
      <c r="A2" s="52">
        <v>14</v>
      </c>
      <c r="B2" s="29" t="s">
        <v>33</v>
      </c>
      <c r="C2" s="22" t="s">
        <v>141</v>
      </c>
      <c r="D2" s="20" t="s">
        <v>142</v>
      </c>
      <c r="E2" s="20" t="s">
        <v>170</v>
      </c>
      <c r="F2" s="20" t="s">
        <v>144</v>
      </c>
      <c r="G2" s="20" t="s">
        <v>147</v>
      </c>
      <c r="H2" s="20" t="s">
        <v>180</v>
      </c>
      <c r="I2" s="30" t="s">
        <v>141</v>
      </c>
      <c r="J2" s="30" t="s">
        <v>141</v>
      </c>
      <c r="K2" s="23" t="s">
        <v>155</v>
      </c>
      <c r="L2" s="23" t="s">
        <v>160</v>
      </c>
      <c r="M2" s="23" t="s">
        <v>164</v>
      </c>
      <c r="N2" s="20" t="s">
        <v>141</v>
      </c>
      <c r="O2" s="25" t="s">
        <v>58</v>
      </c>
      <c r="P2" s="25" t="s">
        <v>60</v>
      </c>
      <c r="Q2" s="24" t="s">
        <v>61</v>
      </c>
      <c r="R2" s="23" t="s">
        <v>62</v>
      </c>
      <c r="S2" s="20" t="s">
        <v>57</v>
      </c>
    </row>
    <row r="3" spans="1:19" x14ac:dyDescent="0.25">
      <c r="A3" s="52">
        <v>18</v>
      </c>
      <c r="B3" s="29" t="s">
        <v>34</v>
      </c>
      <c r="C3" s="22" t="s">
        <v>141</v>
      </c>
      <c r="D3" s="20" t="s">
        <v>142</v>
      </c>
      <c r="E3" s="20" t="s">
        <v>170</v>
      </c>
      <c r="F3" s="20" t="s">
        <v>144</v>
      </c>
      <c r="G3" s="20" t="s">
        <v>147</v>
      </c>
      <c r="H3" s="20" t="s">
        <v>180</v>
      </c>
      <c r="I3" s="30" t="s">
        <v>141</v>
      </c>
      <c r="J3" s="30" t="s">
        <v>141</v>
      </c>
      <c r="K3" s="23" t="s">
        <v>155</v>
      </c>
      <c r="L3" s="23" t="s">
        <v>160</v>
      </c>
      <c r="M3" s="23" t="s">
        <v>164</v>
      </c>
      <c r="N3" s="20" t="s">
        <v>141</v>
      </c>
      <c r="O3" s="25" t="s">
        <v>58</v>
      </c>
      <c r="P3" s="25" t="s">
        <v>60</v>
      </c>
      <c r="Q3" s="24" t="s">
        <v>61</v>
      </c>
      <c r="R3" s="23" t="s">
        <v>62</v>
      </c>
      <c r="S3" s="20" t="s">
        <v>57</v>
      </c>
    </row>
    <row r="4" spans="1:19" x14ac:dyDescent="0.25">
      <c r="A4" s="52">
        <v>82</v>
      </c>
      <c r="B4" s="23" t="s">
        <v>35</v>
      </c>
      <c r="C4" s="22" t="s">
        <v>141</v>
      </c>
      <c r="D4" s="20" t="s">
        <v>142</v>
      </c>
      <c r="E4" s="20" t="s">
        <v>170</v>
      </c>
      <c r="F4" s="20" t="s">
        <v>144</v>
      </c>
      <c r="G4" s="20" t="s">
        <v>72</v>
      </c>
      <c r="H4" s="20" t="s">
        <v>180</v>
      </c>
      <c r="I4" s="27">
        <v>4.875</v>
      </c>
      <c r="J4" s="27">
        <v>5.875</v>
      </c>
      <c r="K4" s="23" t="s">
        <v>155</v>
      </c>
      <c r="L4" s="23" t="s">
        <v>160</v>
      </c>
      <c r="M4" s="23" t="s">
        <v>165</v>
      </c>
      <c r="N4" s="20" t="s">
        <v>141</v>
      </c>
      <c r="O4" s="20" t="s">
        <v>59</v>
      </c>
      <c r="P4" s="25" t="s">
        <v>60</v>
      </c>
      <c r="Q4" s="24" t="s">
        <v>141</v>
      </c>
      <c r="R4" s="23" t="s">
        <v>63</v>
      </c>
      <c r="S4" s="20" t="s">
        <v>57</v>
      </c>
    </row>
    <row r="5" spans="1:19" x14ac:dyDescent="0.25">
      <c r="A5" s="52">
        <v>10</v>
      </c>
      <c r="B5" s="23" t="s">
        <v>36</v>
      </c>
      <c r="C5" s="22" t="s">
        <v>141</v>
      </c>
      <c r="D5" s="20" t="s">
        <v>142</v>
      </c>
      <c r="E5" s="20" t="s">
        <v>171</v>
      </c>
      <c r="F5" s="20" t="s">
        <v>144</v>
      </c>
      <c r="G5" s="20" t="s">
        <v>72</v>
      </c>
      <c r="H5" s="20" t="s">
        <v>180</v>
      </c>
      <c r="I5" s="27">
        <v>4.875</v>
      </c>
      <c r="J5" s="27">
        <v>5.875</v>
      </c>
      <c r="K5" s="23" t="s">
        <v>155</v>
      </c>
      <c r="L5" s="23" t="s">
        <v>160</v>
      </c>
      <c r="M5" s="23" t="s">
        <v>165</v>
      </c>
      <c r="N5" s="20" t="s">
        <v>141</v>
      </c>
      <c r="O5" s="20" t="s">
        <v>59</v>
      </c>
      <c r="P5" s="25" t="s">
        <v>60</v>
      </c>
      <c r="Q5" s="24" t="s">
        <v>141</v>
      </c>
      <c r="R5" s="23" t="s">
        <v>64</v>
      </c>
      <c r="S5" s="20" t="s">
        <v>57</v>
      </c>
    </row>
    <row r="6" spans="1:19" x14ac:dyDescent="0.25">
      <c r="A6" s="52">
        <v>14</v>
      </c>
      <c r="B6" s="23" t="s">
        <v>137</v>
      </c>
      <c r="C6" s="22" t="s">
        <v>141</v>
      </c>
      <c r="D6" s="20" t="s">
        <v>142</v>
      </c>
      <c r="E6" s="20" t="s">
        <v>171</v>
      </c>
      <c r="F6" s="20" t="s">
        <v>144</v>
      </c>
      <c r="G6" s="20" t="s">
        <v>72</v>
      </c>
      <c r="H6" s="20" t="s">
        <v>180</v>
      </c>
      <c r="I6" s="27">
        <v>4.875</v>
      </c>
      <c r="J6" s="27">
        <v>5.875</v>
      </c>
      <c r="K6" s="23" t="s">
        <v>152</v>
      </c>
      <c r="L6" s="23" t="s">
        <v>160</v>
      </c>
      <c r="M6" s="23" t="s">
        <v>164</v>
      </c>
      <c r="N6" s="20" t="s">
        <v>141</v>
      </c>
      <c r="O6" s="20" t="s">
        <v>59</v>
      </c>
      <c r="P6" s="25" t="s">
        <v>60</v>
      </c>
      <c r="Q6" s="24" t="s">
        <v>141</v>
      </c>
      <c r="R6" s="23" t="s">
        <v>64</v>
      </c>
      <c r="S6" s="20" t="s">
        <v>141</v>
      </c>
    </row>
    <row r="7" spans="1:19" ht="14.4" x14ac:dyDescent="0.25">
      <c r="A7" s="52">
        <v>4</v>
      </c>
      <c r="B7" s="23" t="s">
        <v>138</v>
      </c>
      <c r="C7" s="22" t="s">
        <v>141</v>
      </c>
      <c r="D7" s="20" t="s">
        <v>142</v>
      </c>
      <c r="E7" s="20" t="s">
        <v>171</v>
      </c>
      <c r="F7" s="20" t="s">
        <v>144</v>
      </c>
      <c r="G7" s="20" t="s">
        <v>72</v>
      </c>
      <c r="H7" s="20" t="s">
        <v>180</v>
      </c>
      <c r="I7" s="27">
        <v>4.875</v>
      </c>
      <c r="J7" s="27">
        <v>5.875</v>
      </c>
      <c r="K7" s="23" t="s">
        <v>152</v>
      </c>
      <c r="L7" s="23" t="s">
        <v>160</v>
      </c>
      <c r="M7" s="24" t="s">
        <v>167</v>
      </c>
      <c r="N7" s="20" t="s">
        <v>141</v>
      </c>
      <c r="O7" s="20" t="s">
        <v>59</v>
      </c>
      <c r="P7" s="25" t="s">
        <v>60</v>
      </c>
      <c r="Q7" s="24" t="s">
        <v>141</v>
      </c>
      <c r="R7" s="23" t="s">
        <v>64</v>
      </c>
      <c r="S7" s="20" t="s">
        <v>141</v>
      </c>
    </row>
    <row r="8" spans="1:19" ht="14.4" x14ac:dyDescent="0.25">
      <c r="A8" s="52">
        <v>32</v>
      </c>
      <c r="B8" s="23" t="s">
        <v>139</v>
      </c>
      <c r="C8" s="22" t="s">
        <v>141</v>
      </c>
      <c r="D8" s="20" t="s">
        <v>142</v>
      </c>
      <c r="E8" s="20" t="s">
        <v>171</v>
      </c>
      <c r="F8" s="20" t="s">
        <v>144</v>
      </c>
      <c r="G8" s="20" t="s">
        <v>145</v>
      </c>
      <c r="H8" s="20" t="s">
        <v>180</v>
      </c>
      <c r="I8" s="27">
        <v>7.25</v>
      </c>
      <c r="J8" s="27">
        <v>8.25</v>
      </c>
      <c r="K8" s="23" t="s">
        <v>152</v>
      </c>
      <c r="L8" s="23" t="s">
        <v>160</v>
      </c>
      <c r="M8" s="24" t="s">
        <v>169</v>
      </c>
      <c r="N8" s="20" t="s">
        <v>141</v>
      </c>
      <c r="O8" s="20" t="s">
        <v>59</v>
      </c>
      <c r="P8" s="25" t="s">
        <v>60</v>
      </c>
      <c r="Q8" s="24" t="s">
        <v>141</v>
      </c>
      <c r="R8" s="23" t="s">
        <v>64</v>
      </c>
      <c r="S8" s="20" t="s">
        <v>141</v>
      </c>
    </row>
    <row r="9" spans="1:19" x14ac:dyDescent="0.25">
      <c r="A9" s="52">
        <v>14</v>
      </c>
      <c r="B9" s="23" t="s">
        <v>44</v>
      </c>
      <c r="C9" s="22" t="s">
        <v>141</v>
      </c>
      <c r="D9" s="20" t="s">
        <v>142</v>
      </c>
      <c r="E9" s="20" t="s">
        <v>171</v>
      </c>
      <c r="F9" s="20" t="s">
        <v>144</v>
      </c>
      <c r="G9" s="20" t="s">
        <v>72</v>
      </c>
      <c r="H9" s="20" t="s">
        <v>180</v>
      </c>
      <c r="I9" s="27">
        <v>4.875</v>
      </c>
      <c r="J9" s="27">
        <v>5.875</v>
      </c>
      <c r="K9" s="23" t="s">
        <v>150</v>
      </c>
      <c r="L9" s="23" t="s">
        <v>160</v>
      </c>
      <c r="M9" s="23" t="s">
        <v>165</v>
      </c>
      <c r="N9" s="20" t="s">
        <v>141</v>
      </c>
      <c r="O9" s="20" t="s">
        <v>59</v>
      </c>
      <c r="P9" s="25" t="s">
        <v>60</v>
      </c>
      <c r="Q9" s="24" t="s">
        <v>141</v>
      </c>
      <c r="R9" s="23" t="s">
        <v>64</v>
      </c>
      <c r="S9" s="20" t="s">
        <v>141</v>
      </c>
    </row>
    <row r="10" spans="1:19" ht="14.4" x14ac:dyDescent="0.25">
      <c r="A10" s="52">
        <v>14</v>
      </c>
      <c r="B10" s="23" t="s">
        <v>45</v>
      </c>
      <c r="C10" s="22" t="s">
        <v>141</v>
      </c>
      <c r="D10" s="20" t="s">
        <v>142</v>
      </c>
      <c r="E10" s="20" t="s">
        <v>171</v>
      </c>
      <c r="F10" s="20" t="s">
        <v>144</v>
      </c>
      <c r="G10" s="20" t="s">
        <v>146</v>
      </c>
      <c r="H10" s="20" t="s">
        <v>180</v>
      </c>
      <c r="I10" s="27">
        <v>7.25</v>
      </c>
      <c r="J10" s="27">
        <v>8.25</v>
      </c>
      <c r="K10" s="23" t="s">
        <v>150</v>
      </c>
      <c r="L10" s="23" t="s">
        <v>160</v>
      </c>
      <c r="M10" s="24" t="s">
        <v>168</v>
      </c>
      <c r="N10" s="20" t="s">
        <v>141</v>
      </c>
      <c r="O10" s="20" t="s">
        <v>59</v>
      </c>
      <c r="P10" s="25" t="s">
        <v>60</v>
      </c>
      <c r="Q10" s="24" t="s">
        <v>141</v>
      </c>
      <c r="R10" s="23" t="s">
        <v>64</v>
      </c>
      <c r="S10" s="20" t="s">
        <v>141</v>
      </c>
    </row>
    <row r="11" spans="1:19" x14ac:dyDescent="0.25">
      <c r="A11" s="52">
        <v>14</v>
      </c>
      <c r="B11" s="23" t="s">
        <v>39</v>
      </c>
      <c r="C11" s="22" t="s">
        <v>141</v>
      </c>
      <c r="D11" s="20" t="s">
        <v>142</v>
      </c>
      <c r="E11" s="20" t="s">
        <v>171</v>
      </c>
      <c r="F11" s="20" t="s">
        <v>144</v>
      </c>
      <c r="G11" s="20" t="s">
        <v>146</v>
      </c>
      <c r="H11" s="20" t="s">
        <v>180</v>
      </c>
      <c r="I11" s="27">
        <v>7.25</v>
      </c>
      <c r="J11" s="27">
        <v>8.25</v>
      </c>
      <c r="K11" s="23" t="s">
        <v>149</v>
      </c>
      <c r="L11" s="23" t="s">
        <v>160</v>
      </c>
      <c r="M11" s="23" t="s">
        <v>165</v>
      </c>
      <c r="N11" s="20" t="s">
        <v>141</v>
      </c>
      <c r="O11" s="20" t="s">
        <v>59</v>
      </c>
      <c r="P11" s="25" t="s">
        <v>60</v>
      </c>
      <c r="Q11" s="24" t="s">
        <v>141</v>
      </c>
      <c r="R11" s="23" t="s">
        <v>64</v>
      </c>
      <c r="S11" s="20" t="s">
        <v>141</v>
      </c>
    </row>
    <row r="12" spans="1:19" x14ac:dyDescent="0.25">
      <c r="A12" s="52">
        <v>46</v>
      </c>
      <c r="B12" s="23" t="s">
        <v>40</v>
      </c>
      <c r="C12" s="22" t="s">
        <v>141</v>
      </c>
      <c r="D12" s="20" t="s">
        <v>142</v>
      </c>
      <c r="E12" s="20" t="s">
        <v>171</v>
      </c>
      <c r="F12" s="20" t="s">
        <v>144</v>
      </c>
      <c r="G12" s="20" t="s">
        <v>72</v>
      </c>
      <c r="H12" s="20" t="s">
        <v>180</v>
      </c>
      <c r="I12" s="27">
        <v>7.25</v>
      </c>
      <c r="J12" s="27">
        <v>8.25</v>
      </c>
      <c r="K12" s="23" t="s">
        <v>155</v>
      </c>
      <c r="L12" s="23" t="s">
        <v>160</v>
      </c>
      <c r="M12" s="23" t="s">
        <v>165</v>
      </c>
      <c r="N12" s="20" t="s">
        <v>141</v>
      </c>
      <c r="O12" s="20" t="s">
        <v>59</v>
      </c>
      <c r="P12" s="25" t="s">
        <v>60</v>
      </c>
      <c r="Q12" s="24" t="s">
        <v>141</v>
      </c>
      <c r="R12" s="23" t="s">
        <v>63</v>
      </c>
      <c r="S12" s="20" t="s">
        <v>57</v>
      </c>
    </row>
    <row r="13" spans="1:19" x14ac:dyDescent="0.25">
      <c r="A13" s="52">
        <v>46</v>
      </c>
      <c r="B13" s="23" t="s">
        <v>41</v>
      </c>
      <c r="C13" s="22" t="s">
        <v>141</v>
      </c>
      <c r="D13" s="20" t="s">
        <v>142</v>
      </c>
      <c r="E13" s="20" t="s">
        <v>170</v>
      </c>
      <c r="F13" s="20" t="s">
        <v>144</v>
      </c>
      <c r="G13" s="20" t="s">
        <v>72</v>
      </c>
      <c r="H13" s="20" t="s">
        <v>180</v>
      </c>
      <c r="I13" s="27">
        <v>4.875</v>
      </c>
      <c r="J13" s="27">
        <v>5.875</v>
      </c>
      <c r="K13" s="23" t="s">
        <v>157</v>
      </c>
      <c r="L13" s="23" t="s">
        <v>160</v>
      </c>
      <c r="M13" s="23" t="s">
        <v>165</v>
      </c>
      <c r="N13" s="20" t="s">
        <v>141</v>
      </c>
      <c r="O13" s="20" t="s">
        <v>59</v>
      </c>
      <c r="P13" s="25" t="s">
        <v>60</v>
      </c>
      <c r="Q13" s="24" t="s">
        <v>141</v>
      </c>
      <c r="R13" s="23" t="s">
        <v>65</v>
      </c>
      <c r="S13" s="20" t="s">
        <v>141</v>
      </c>
    </row>
    <row r="14" spans="1:19" x14ac:dyDescent="0.25">
      <c r="A14" s="52">
        <v>33</v>
      </c>
      <c r="B14" s="23" t="s">
        <v>42</v>
      </c>
      <c r="C14" s="22" t="s">
        <v>141</v>
      </c>
      <c r="D14" s="20" t="s">
        <v>143</v>
      </c>
      <c r="E14" s="20" t="s">
        <v>171</v>
      </c>
      <c r="F14" s="20" t="s">
        <v>144</v>
      </c>
      <c r="G14" s="20" t="s">
        <v>72</v>
      </c>
      <c r="H14" s="20" t="s">
        <v>180</v>
      </c>
      <c r="I14" s="27">
        <v>4.875</v>
      </c>
      <c r="J14" s="27">
        <v>5.875</v>
      </c>
      <c r="K14" s="23" t="s">
        <v>156</v>
      </c>
      <c r="L14" s="23" t="s">
        <v>160</v>
      </c>
      <c r="M14" s="23" t="s">
        <v>165</v>
      </c>
      <c r="N14" s="20" t="s">
        <v>141</v>
      </c>
      <c r="O14" s="20" t="s">
        <v>59</v>
      </c>
      <c r="P14" s="25" t="s">
        <v>60</v>
      </c>
      <c r="Q14" s="24" t="s">
        <v>141</v>
      </c>
      <c r="R14" s="23" t="s">
        <v>65</v>
      </c>
      <c r="S14" s="20" t="s">
        <v>141</v>
      </c>
    </row>
    <row r="15" spans="1:19" x14ac:dyDescent="0.25">
      <c r="A15" s="52">
        <v>14</v>
      </c>
      <c r="B15" s="23" t="s">
        <v>43</v>
      </c>
      <c r="C15" s="22" t="s">
        <v>141</v>
      </c>
      <c r="D15" s="20" t="s">
        <v>143</v>
      </c>
      <c r="E15" s="20" t="s">
        <v>171</v>
      </c>
      <c r="F15" s="20" t="s">
        <v>144</v>
      </c>
      <c r="G15" s="20" t="s">
        <v>72</v>
      </c>
      <c r="H15" s="20" t="s">
        <v>180</v>
      </c>
      <c r="I15" s="27">
        <v>4.875</v>
      </c>
      <c r="J15" s="27">
        <v>5.875</v>
      </c>
      <c r="K15" s="23" t="s">
        <v>155</v>
      </c>
      <c r="L15" s="23" t="s">
        <v>160</v>
      </c>
      <c r="M15" s="23" t="s">
        <v>165</v>
      </c>
      <c r="N15" s="20" t="s">
        <v>141</v>
      </c>
      <c r="O15" s="20" t="s">
        <v>59</v>
      </c>
      <c r="P15" s="25" t="s">
        <v>60</v>
      </c>
      <c r="Q15" s="24" t="s">
        <v>141</v>
      </c>
      <c r="R15" s="23" t="s">
        <v>64</v>
      </c>
      <c r="S15" s="20" t="s">
        <v>57</v>
      </c>
    </row>
    <row r="16" spans="1:19" x14ac:dyDescent="0.25">
      <c r="A16" s="53" t="s">
        <v>166</v>
      </c>
      <c r="B16" s="25" t="s">
        <v>71</v>
      </c>
      <c r="C16" s="22" t="s">
        <v>182</v>
      </c>
      <c r="D16" s="20" t="s">
        <v>142</v>
      </c>
      <c r="E16" s="20" t="s">
        <v>170</v>
      </c>
      <c r="F16" s="20" t="s">
        <v>144</v>
      </c>
      <c r="G16" s="20" t="s">
        <v>173</v>
      </c>
      <c r="H16" s="20" t="s">
        <v>180</v>
      </c>
      <c r="I16" s="27">
        <v>4.25</v>
      </c>
      <c r="J16" s="27">
        <v>5.25</v>
      </c>
      <c r="K16" s="23" t="s">
        <v>155</v>
      </c>
      <c r="L16" s="25" t="s">
        <v>161</v>
      </c>
      <c r="M16" s="23" t="s">
        <v>164</v>
      </c>
      <c r="N16" s="25" t="s">
        <v>72</v>
      </c>
      <c r="O16" s="20" t="s">
        <v>141</v>
      </c>
      <c r="P16" s="24" t="s">
        <v>141</v>
      </c>
      <c r="Q16" s="24" t="s">
        <v>141</v>
      </c>
      <c r="R16" s="26">
        <v>4</v>
      </c>
      <c r="S16" s="20" t="s">
        <v>141</v>
      </c>
    </row>
    <row r="17" spans="1:19" x14ac:dyDescent="0.25">
      <c r="A17" s="53" t="s">
        <v>166</v>
      </c>
      <c r="B17" s="25" t="s">
        <v>73</v>
      </c>
      <c r="C17" s="22" t="s">
        <v>182</v>
      </c>
      <c r="D17" s="20" t="s">
        <v>142</v>
      </c>
      <c r="E17" s="20" t="s">
        <v>171</v>
      </c>
      <c r="F17" s="20" t="s">
        <v>144</v>
      </c>
      <c r="G17" s="20" t="s">
        <v>173</v>
      </c>
      <c r="H17" s="20" t="s">
        <v>180</v>
      </c>
      <c r="I17" s="27">
        <v>4.25</v>
      </c>
      <c r="J17" s="27">
        <v>5.25</v>
      </c>
      <c r="K17" s="25" t="s">
        <v>154</v>
      </c>
      <c r="L17" s="23" t="s">
        <v>160</v>
      </c>
      <c r="M17" s="23" t="s">
        <v>164</v>
      </c>
      <c r="N17" s="25" t="s">
        <v>74</v>
      </c>
      <c r="O17" s="20" t="s">
        <v>141</v>
      </c>
      <c r="P17" s="24" t="s">
        <v>141</v>
      </c>
      <c r="Q17" s="24" t="s">
        <v>141</v>
      </c>
      <c r="R17" s="26">
        <v>4</v>
      </c>
      <c r="S17" s="20" t="s">
        <v>141</v>
      </c>
    </row>
    <row r="18" spans="1:19" x14ac:dyDescent="0.25">
      <c r="A18" s="53" t="s">
        <v>166</v>
      </c>
      <c r="B18" s="25" t="s">
        <v>75</v>
      </c>
      <c r="C18" s="22" t="s">
        <v>183</v>
      </c>
      <c r="D18" s="20" t="s">
        <v>142</v>
      </c>
      <c r="E18" s="20" t="s">
        <v>171</v>
      </c>
      <c r="F18" s="20" t="s">
        <v>144</v>
      </c>
      <c r="G18" s="20" t="s">
        <v>173</v>
      </c>
      <c r="H18" s="20" t="s">
        <v>180</v>
      </c>
      <c r="I18" s="27">
        <v>4.25</v>
      </c>
      <c r="J18" s="27">
        <v>5.25</v>
      </c>
      <c r="K18" s="25" t="s">
        <v>154</v>
      </c>
      <c r="L18" s="23" t="s">
        <v>160</v>
      </c>
      <c r="M18" s="23" t="s">
        <v>164</v>
      </c>
      <c r="N18" s="25" t="s">
        <v>74</v>
      </c>
      <c r="O18" s="20" t="s">
        <v>141</v>
      </c>
      <c r="P18" s="24" t="s">
        <v>141</v>
      </c>
      <c r="Q18" s="24" t="s">
        <v>141</v>
      </c>
      <c r="R18" s="26">
        <v>4</v>
      </c>
      <c r="S18" s="20" t="s">
        <v>141</v>
      </c>
    </row>
    <row r="19" spans="1:19" x14ac:dyDescent="0.25">
      <c r="A19" s="53" t="s">
        <v>166</v>
      </c>
      <c r="B19" s="25" t="s">
        <v>76</v>
      </c>
      <c r="C19" s="22" t="s">
        <v>183</v>
      </c>
      <c r="D19" s="20" t="s">
        <v>142</v>
      </c>
      <c r="E19" s="20" t="s">
        <v>171</v>
      </c>
      <c r="F19" s="20" t="s">
        <v>144</v>
      </c>
      <c r="G19" s="20" t="s">
        <v>173</v>
      </c>
      <c r="H19" s="20" t="s">
        <v>180</v>
      </c>
      <c r="I19" s="27">
        <v>4.25</v>
      </c>
      <c r="J19" s="27">
        <v>5.25</v>
      </c>
      <c r="K19" s="25" t="s">
        <v>154</v>
      </c>
      <c r="L19" s="23" t="s">
        <v>160</v>
      </c>
      <c r="M19" s="23" t="s">
        <v>164</v>
      </c>
      <c r="N19" s="25" t="s">
        <v>74</v>
      </c>
      <c r="O19" s="20" t="s">
        <v>141</v>
      </c>
      <c r="P19" s="24" t="s">
        <v>141</v>
      </c>
      <c r="Q19" s="24" t="s">
        <v>141</v>
      </c>
      <c r="R19" s="26">
        <v>4</v>
      </c>
      <c r="S19" s="20" t="s">
        <v>141</v>
      </c>
    </row>
    <row r="20" spans="1:19" x14ac:dyDescent="0.25">
      <c r="A20" s="53" t="s">
        <v>166</v>
      </c>
      <c r="B20" s="25" t="s">
        <v>77</v>
      </c>
      <c r="C20" s="22" t="s">
        <v>184</v>
      </c>
      <c r="D20" s="20" t="s">
        <v>142</v>
      </c>
      <c r="E20" s="20" t="s">
        <v>171</v>
      </c>
      <c r="F20" s="20" t="s">
        <v>144</v>
      </c>
      <c r="G20" s="20" t="s">
        <v>173</v>
      </c>
      <c r="H20" s="20" t="s">
        <v>180</v>
      </c>
      <c r="I20" s="27">
        <v>4.25</v>
      </c>
      <c r="J20" s="27">
        <v>5.25</v>
      </c>
      <c r="K20" s="25" t="s">
        <v>154</v>
      </c>
      <c r="L20" s="23" t="s">
        <v>160</v>
      </c>
      <c r="M20" s="23" t="s">
        <v>164</v>
      </c>
      <c r="N20" s="25" t="s">
        <v>74</v>
      </c>
      <c r="O20" s="20" t="s">
        <v>141</v>
      </c>
      <c r="P20" s="24" t="s">
        <v>141</v>
      </c>
      <c r="Q20" s="24" t="s">
        <v>141</v>
      </c>
      <c r="R20" s="26">
        <v>4</v>
      </c>
      <c r="S20" s="20" t="s">
        <v>141</v>
      </c>
    </row>
    <row r="21" spans="1:19" x14ac:dyDescent="0.25">
      <c r="A21" s="53" t="s">
        <v>166</v>
      </c>
      <c r="B21" s="25" t="s">
        <v>78</v>
      </c>
      <c r="C21" s="22" t="s">
        <v>184</v>
      </c>
      <c r="D21" s="20" t="s">
        <v>142</v>
      </c>
      <c r="E21" s="20" t="s">
        <v>171</v>
      </c>
      <c r="F21" s="20" t="s">
        <v>144</v>
      </c>
      <c r="G21" s="20" t="s">
        <v>173</v>
      </c>
      <c r="H21" s="20" t="s">
        <v>180</v>
      </c>
      <c r="I21" s="27">
        <v>4.25</v>
      </c>
      <c r="J21" s="27">
        <v>5.25</v>
      </c>
      <c r="K21" s="25" t="s">
        <v>154</v>
      </c>
      <c r="L21" s="23" t="s">
        <v>160</v>
      </c>
      <c r="M21" s="23" t="s">
        <v>164</v>
      </c>
      <c r="N21" s="25" t="s">
        <v>74</v>
      </c>
      <c r="O21" s="20" t="s">
        <v>141</v>
      </c>
      <c r="P21" s="24" t="s">
        <v>141</v>
      </c>
      <c r="Q21" s="24" t="s">
        <v>141</v>
      </c>
      <c r="R21" s="26">
        <v>4</v>
      </c>
      <c r="S21" s="20" t="s">
        <v>141</v>
      </c>
    </row>
    <row r="22" spans="1:19" x14ac:dyDescent="0.25">
      <c r="A22" s="53" t="s">
        <v>166</v>
      </c>
      <c r="B22" s="25" t="s">
        <v>79</v>
      </c>
      <c r="C22" s="22" t="s">
        <v>185</v>
      </c>
      <c r="D22" s="20" t="s">
        <v>142</v>
      </c>
      <c r="E22" s="20" t="s">
        <v>171</v>
      </c>
      <c r="F22" s="20" t="s">
        <v>144</v>
      </c>
      <c r="G22" s="20" t="s">
        <v>173</v>
      </c>
      <c r="H22" s="20" t="s">
        <v>180</v>
      </c>
      <c r="I22" s="27">
        <v>4.25</v>
      </c>
      <c r="J22" s="27">
        <v>5.25</v>
      </c>
      <c r="K22" s="25" t="s">
        <v>154</v>
      </c>
      <c r="L22" s="23" t="s">
        <v>160</v>
      </c>
      <c r="M22" s="23" t="s">
        <v>164</v>
      </c>
      <c r="N22" s="25" t="s">
        <v>74</v>
      </c>
      <c r="O22" s="20" t="s">
        <v>141</v>
      </c>
      <c r="P22" s="24" t="s">
        <v>141</v>
      </c>
      <c r="Q22" s="24" t="s">
        <v>141</v>
      </c>
      <c r="R22" s="26">
        <v>4</v>
      </c>
      <c r="S22" s="20" t="s">
        <v>141</v>
      </c>
    </row>
    <row r="23" spans="1:19" x14ac:dyDescent="0.25">
      <c r="A23" s="53" t="s">
        <v>166</v>
      </c>
      <c r="B23" s="25" t="s">
        <v>80</v>
      </c>
      <c r="C23" s="22" t="s">
        <v>185</v>
      </c>
      <c r="D23" s="20" t="s">
        <v>142</v>
      </c>
      <c r="E23" s="20" t="s">
        <v>171</v>
      </c>
      <c r="F23" s="20" t="s">
        <v>144</v>
      </c>
      <c r="G23" s="20" t="s">
        <v>173</v>
      </c>
      <c r="H23" s="20" t="s">
        <v>180</v>
      </c>
      <c r="I23" s="27">
        <v>4.25</v>
      </c>
      <c r="J23" s="27">
        <v>5.25</v>
      </c>
      <c r="K23" s="25" t="s">
        <v>154</v>
      </c>
      <c r="L23" s="23" t="s">
        <v>160</v>
      </c>
      <c r="M23" s="23" t="s">
        <v>164</v>
      </c>
      <c r="N23" s="25" t="s">
        <v>74</v>
      </c>
      <c r="O23" s="20" t="s">
        <v>141</v>
      </c>
      <c r="P23" s="24" t="s">
        <v>141</v>
      </c>
      <c r="Q23" s="24" t="s">
        <v>141</v>
      </c>
      <c r="R23" s="26">
        <v>4</v>
      </c>
      <c r="S23" s="20" t="s">
        <v>141</v>
      </c>
    </row>
    <row r="24" spans="1:19" x14ac:dyDescent="0.25">
      <c r="A24" s="53" t="s">
        <v>166</v>
      </c>
      <c r="B24" s="25" t="s">
        <v>81</v>
      </c>
      <c r="C24" s="22" t="s">
        <v>186</v>
      </c>
      <c r="D24" s="20" t="s">
        <v>143</v>
      </c>
      <c r="E24" s="20" t="s">
        <v>171</v>
      </c>
      <c r="F24" s="20" t="s">
        <v>144</v>
      </c>
      <c r="G24" s="20" t="s">
        <v>172</v>
      </c>
      <c r="H24" s="20" t="s">
        <v>180</v>
      </c>
      <c r="I24" s="27">
        <v>6.625</v>
      </c>
      <c r="J24" s="27">
        <v>7.625</v>
      </c>
      <c r="K24" s="23" t="s">
        <v>157</v>
      </c>
      <c r="L24" s="25" t="s">
        <v>161</v>
      </c>
      <c r="M24" s="23" t="s">
        <v>164</v>
      </c>
      <c r="N24" s="25" t="s">
        <v>82</v>
      </c>
      <c r="O24" s="20" t="s">
        <v>141</v>
      </c>
      <c r="P24" s="24" t="s">
        <v>141</v>
      </c>
      <c r="Q24" s="24" t="s">
        <v>141</v>
      </c>
      <c r="R24" s="26">
        <v>1</v>
      </c>
      <c r="S24" s="20" t="s">
        <v>123</v>
      </c>
    </row>
    <row r="25" spans="1:19" x14ac:dyDescent="0.25">
      <c r="A25" s="53" t="s">
        <v>166</v>
      </c>
      <c r="B25" s="25" t="s">
        <v>83</v>
      </c>
      <c r="C25" s="22" t="s">
        <v>186</v>
      </c>
      <c r="D25" s="19" t="s">
        <v>142</v>
      </c>
      <c r="E25" s="1" t="s">
        <v>170</v>
      </c>
      <c r="F25" s="1" t="s">
        <v>175</v>
      </c>
      <c r="G25" s="19" t="s">
        <v>174</v>
      </c>
      <c r="H25" s="20" t="s">
        <v>180</v>
      </c>
      <c r="I25" s="27">
        <v>6.625</v>
      </c>
      <c r="J25" s="27">
        <v>7.625</v>
      </c>
      <c r="K25" s="23" t="s">
        <v>155</v>
      </c>
      <c r="L25" s="25" t="s">
        <v>161</v>
      </c>
      <c r="M25" s="23" t="s">
        <v>164</v>
      </c>
      <c r="N25" s="25" t="s">
        <v>84</v>
      </c>
      <c r="O25" s="20" t="s">
        <v>141</v>
      </c>
      <c r="P25" s="24" t="s">
        <v>141</v>
      </c>
      <c r="Q25" s="24" t="s">
        <v>141</v>
      </c>
      <c r="R25" s="26">
        <v>3</v>
      </c>
      <c r="S25" s="20" t="s">
        <v>123</v>
      </c>
    </row>
    <row r="26" spans="1:19" x14ac:dyDescent="0.25">
      <c r="A26" s="53" t="s">
        <v>166</v>
      </c>
      <c r="B26" s="25" t="s">
        <v>85</v>
      </c>
      <c r="C26" s="22" t="s">
        <v>186</v>
      </c>
      <c r="D26" s="19" t="s">
        <v>142</v>
      </c>
      <c r="E26" s="1" t="s">
        <v>170</v>
      </c>
      <c r="F26" s="19" t="s">
        <v>175</v>
      </c>
      <c r="G26" s="19" t="s">
        <v>174</v>
      </c>
      <c r="H26" s="20" t="s">
        <v>180</v>
      </c>
      <c r="I26" s="27">
        <v>6.625</v>
      </c>
      <c r="J26" s="27">
        <v>7.625</v>
      </c>
      <c r="K26" s="23" t="s">
        <v>155</v>
      </c>
      <c r="L26" s="25" t="s">
        <v>161</v>
      </c>
      <c r="M26" s="23" t="s">
        <v>164</v>
      </c>
      <c r="N26" s="25" t="s">
        <v>84</v>
      </c>
      <c r="O26" s="20" t="s">
        <v>141</v>
      </c>
      <c r="P26" s="24" t="s">
        <v>141</v>
      </c>
      <c r="Q26" s="24" t="s">
        <v>141</v>
      </c>
      <c r="R26" s="26">
        <v>3</v>
      </c>
      <c r="S26" s="20" t="s">
        <v>123</v>
      </c>
    </row>
    <row r="27" spans="1:19" x14ac:dyDescent="0.25">
      <c r="A27" s="53" t="s">
        <v>166</v>
      </c>
      <c r="B27" s="25" t="s">
        <v>86</v>
      </c>
      <c r="C27" s="22" t="s">
        <v>186</v>
      </c>
      <c r="D27" s="19" t="s">
        <v>142</v>
      </c>
      <c r="E27" s="1" t="s">
        <v>171</v>
      </c>
      <c r="F27" s="19" t="s">
        <v>144</v>
      </c>
      <c r="G27" s="19" t="s">
        <v>146</v>
      </c>
      <c r="H27" s="20" t="s">
        <v>180</v>
      </c>
      <c r="I27" s="27">
        <v>7.25</v>
      </c>
      <c r="J27" s="27">
        <v>8.25</v>
      </c>
      <c r="K27" s="23" t="s">
        <v>155</v>
      </c>
      <c r="L27" s="25" t="s">
        <v>161</v>
      </c>
      <c r="M27" s="23" t="s">
        <v>165</v>
      </c>
      <c r="N27" s="25" t="s">
        <v>72</v>
      </c>
      <c r="O27" s="20" t="s">
        <v>141</v>
      </c>
      <c r="P27" s="24" t="s">
        <v>141</v>
      </c>
      <c r="Q27" s="24" t="s">
        <v>141</v>
      </c>
      <c r="R27" s="26">
        <v>15</v>
      </c>
      <c r="S27" s="20" t="s">
        <v>141</v>
      </c>
    </row>
    <row r="28" spans="1:19" x14ac:dyDescent="0.25">
      <c r="A28" s="53" t="s">
        <v>166</v>
      </c>
      <c r="B28" s="25" t="s">
        <v>87</v>
      </c>
      <c r="C28" s="22" t="s">
        <v>186</v>
      </c>
      <c r="D28" s="19" t="s">
        <v>142</v>
      </c>
      <c r="E28" s="1" t="s">
        <v>171</v>
      </c>
      <c r="F28" s="19" t="s">
        <v>175</v>
      </c>
      <c r="G28" s="19" t="s">
        <v>174</v>
      </c>
      <c r="H28" s="20" t="s">
        <v>180</v>
      </c>
      <c r="I28" s="27">
        <v>6.625</v>
      </c>
      <c r="J28" s="27">
        <v>7.625</v>
      </c>
      <c r="K28" s="23" t="s">
        <v>155</v>
      </c>
      <c r="L28" s="25" t="s">
        <v>161</v>
      </c>
      <c r="M28" s="23" t="s">
        <v>164</v>
      </c>
      <c r="N28" s="25" t="s">
        <v>84</v>
      </c>
      <c r="O28" s="20" t="s">
        <v>141</v>
      </c>
      <c r="P28" s="24" t="s">
        <v>141</v>
      </c>
      <c r="Q28" s="24" t="s">
        <v>141</v>
      </c>
      <c r="R28" s="26">
        <v>2</v>
      </c>
      <c r="S28" s="20" t="s">
        <v>123</v>
      </c>
    </row>
    <row r="29" spans="1:19" x14ac:dyDescent="0.25">
      <c r="A29" s="53" t="s">
        <v>166</v>
      </c>
      <c r="B29" s="25" t="s">
        <v>88</v>
      </c>
      <c r="C29" s="22" t="s">
        <v>186</v>
      </c>
      <c r="D29" s="19" t="s">
        <v>142</v>
      </c>
      <c r="E29" s="1" t="s">
        <v>170</v>
      </c>
      <c r="F29" s="19" t="s">
        <v>175</v>
      </c>
      <c r="G29" s="19" t="s">
        <v>174</v>
      </c>
      <c r="H29" s="20" t="s">
        <v>180</v>
      </c>
      <c r="I29" s="27">
        <v>6.625</v>
      </c>
      <c r="J29" s="27">
        <v>7.625</v>
      </c>
      <c r="K29" s="23" t="s">
        <v>155</v>
      </c>
      <c r="L29" s="25" t="s">
        <v>161</v>
      </c>
      <c r="M29" s="23" t="s">
        <v>164</v>
      </c>
      <c r="N29" s="25" t="s">
        <v>72</v>
      </c>
      <c r="O29" s="20" t="s">
        <v>141</v>
      </c>
      <c r="P29" s="24" t="s">
        <v>141</v>
      </c>
      <c r="Q29" s="24" t="s">
        <v>141</v>
      </c>
      <c r="R29" s="26">
        <v>16</v>
      </c>
      <c r="S29" s="20" t="s">
        <v>141</v>
      </c>
    </row>
    <row r="30" spans="1:19" x14ac:dyDescent="0.25">
      <c r="A30" s="53" t="s">
        <v>166</v>
      </c>
      <c r="B30" s="25" t="s">
        <v>89</v>
      </c>
      <c r="C30" s="22" t="s">
        <v>186</v>
      </c>
      <c r="D30" s="19" t="s">
        <v>142</v>
      </c>
      <c r="E30" s="1" t="s">
        <v>171</v>
      </c>
      <c r="F30" s="19" t="s">
        <v>144</v>
      </c>
      <c r="G30" s="19" t="s">
        <v>82</v>
      </c>
      <c r="H30" s="20" t="s">
        <v>181</v>
      </c>
      <c r="I30" s="19">
        <v>6</v>
      </c>
      <c r="J30" s="19">
        <v>7</v>
      </c>
      <c r="K30" s="25" t="s">
        <v>151</v>
      </c>
      <c r="L30" s="25" t="s">
        <v>161</v>
      </c>
      <c r="M30" s="23" t="s">
        <v>165</v>
      </c>
      <c r="N30" s="25" t="s">
        <v>90</v>
      </c>
      <c r="O30" s="20" t="s">
        <v>141</v>
      </c>
      <c r="P30" s="24" t="s">
        <v>141</v>
      </c>
      <c r="Q30" s="24" t="s">
        <v>141</v>
      </c>
      <c r="R30" s="26">
        <v>5</v>
      </c>
      <c r="S30" s="20" t="s">
        <v>141</v>
      </c>
    </row>
    <row r="31" spans="1:19" x14ac:dyDescent="0.25">
      <c r="A31" s="53" t="s">
        <v>166</v>
      </c>
      <c r="B31" s="25" t="s">
        <v>91</v>
      </c>
      <c r="C31" s="22" t="s">
        <v>186</v>
      </c>
      <c r="D31" s="19" t="s">
        <v>142</v>
      </c>
      <c r="E31" s="1" t="s">
        <v>171</v>
      </c>
      <c r="F31" s="19" t="s">
        <v>144</v>
      </c>
      <c r="G31" s="19" t="s">
        <v>82</v>
      </c>
      <c r="H31" s="20" t="s">
        <v>181</v>
      </c>
      <c r="I31" s="19">
        <v>6</v>
      </c>
      <c r="J31" s="19">
        <v>7</v>
      </c>
      <c r="K31" s="25" t="s">
        <v>151</v>
      </c>
      <c r="L31" s="25" t="s">
        <v>161</v>
      </c>
      <c r="M31" s="23" t="s">
        <v>165</v>
      </c>
      <c r="N31" s="25" t="s">
        <v>90</v>
      </c>
      <c r="O31" s="20" t="s">
        <v>141</v>
      </c>
      <c r="P31" s="24" t="s">
        <v>141</v>
      </c>
      <c r="Q31" s="24" t="s">
        <v>141</v>
      </c>
      <c r="R31" s="26">
        <v>6</v>
      </c>
      <c r="S31" s="20" t="s">
        <v>141</v>
      </c>
    </row>
    <row r="32" spans="1:19" x14ac:dyDescent="0.25">
      <c r="A32" s="53" t="s">
        <v>166</v>
      </c>
      <c r="B32" s="25" t="s">
        <v>92</v>
      </c>
      <c r="C32" s="22" t="s">
        <v>186</v>
      </c>
      <c r="D32" s="19" t="s">
        <v>142</v>
      </c>
      <c r="E32" s="1" t="s">
        <v>170</v>
      </c>
      <c r="F32" s="19" t="s">
        <v>144</v>
      </c>
      <c r="G32" s="19" t="s">
        <v>72</v>
      </c>
      <c r="H32" s="20" t="s">
        <v>180</v>
      </c>
      <c r="I32" s="27">
        <v>4.875</v>
      </c>
      <c r="J32" s="27">
        <v>5.875</v>
      </c>
      <c r="K32" s="23" t="s">
        <v>155</v>
      </c>
      <c r="L32" s="25" t="s">
        <v>161</v>
      </c>
      <c r="M32" s="23" t="s">
        <v>165</v>
      </c>
      <c r="N32" s="25" t="s">
        <v>84</v>
      </c>
      <c r="O32" s="20" t="s">
        <v>141</v>
      </c>
      <c r="P32" s="24" t="s">
        <v>141</v>
      </c>
      <c r="Q32" s="24" t="s">
        <v>141</v>
      </c>
      <c r="R32" s="26">
        <v>14</v>
      </c>
      <c r="S32" s="20" t="s">
        <v>123</v>
      </c>
    </row>
    <row r="33" spans="1:19" x14ac:dyDescent="0.25">
      <c r="A33" s="53" t="s">
        <v>166</v>
      </c>
      <c r="B33" s="25" t="s">
        <v>93</v>
      </c>
      <c r="C33" s="22" t="s">
        <v>186</v>
      </c>
      <c r="D33" s="19" t="s">
        <v>142</v>
      </c>
      <c r="E33" s="1" t="s">
        <v>170</v>
      </c>
      <c r="F33" s="19" t="s">
        <v>144</v>
      </c>
      <c r="G33" s="19" t="s">
        <v>146</v>
      </c>
      <c r="H33" s="20" t="s">
        <v>180</v>
      </c>
      <c r="I33" s="27">
        <v>7.25</v>
      </c>
      <c r="J33" s="27">
        <v>8.25</v>
      </c>
      <c r="K33" s="23" t="s">
        <v>155</v>
      </c>
      <c r="L33" s="25" t="s">
        <v>161</v>
      </c>
      <c r="M33" s="23" t="s">
        <v>165</v>
      </c>
      <c r="N33" s="25" t="s">
        <v>72</v>
      </c>
      <c r="O33" s="20" t="s">
        <v>141</v>
      </c>
      <c r="P33" s="24" t="s">
        <v>141</v>
      </c>
      <c r="Q33" s="24" t="s">
        <v>141</v>
      </c>
      <c r="R33" s="26">
        <v>11</v>
      </c>
      <c r="S33" s="20" t="s">
        <v>141</v>
      </c>
    </row>
    <row r="34" spans="1:19" x14ac:dyDescent="0.25">
      <c r="A34" s="53" t="s">
        <v>166</v>
      </c>
      <c r="B34" s="25" t="s">
        <v>94</v>
      </c>
      <c r="C34" s="22" t="s">
        <v>186</v>
      </c>
      <c r="D34" s="19" t="s">
        <v>142</v>
      </c>
      <c r="E34" s="1" t="s">
        <v>171</v>
      </c>
      <c r="F34" s="19" t="s">
        <v>175</v>
      </c>
      <c r="G34" s="19" t="s">
        <v>174</v>
      </c>
      <c r="H34" s="20" t="s">
        <v>180</v>
      </c>
      <c r="I34" s="27">
        <v>6.625</v>
      </c>
      <c r="J34" s="27">
        <v>7.625</v>
      </c>
      <c r="K34" s="23" t="s">
        <v>155</v>
      </c>
      <c r="L34" s="25" t="s">
        <v>161</v>
      </c>
      <c r="M34" s="23" t="s">
        <v>164</v>
      </c>
      <c r="N34" s="25" t="s">
        <v>84</v>
      </c>
      <c r="O34" s="20" t="s">
        <v>141</v>
      </c>
      <c r="P34" s="24" t="s">
        <v>141</v>
      </c>
      <c r="Q34" s="24" t="s">
        <v>141</v>
      </c>
      <c r="R34" s="26">
        <v>12</v>
      </c>
      <c r="S34" s="20" t="s">
        <v>141</v>
      </c>
    </row>
    <row r="35" spans="1:19" x14ac:dyDescent="0.25">
      <c r="A35" s="53" t="s">
        <v>166</v>
      </c>
      <c r="B35" s="25" t="s">
        <v>95</v>
      </c>
      <c r="C35" s="22" t="s">
        <v>186</v>
      </c>
      <c r="D35" s="19" t="s">
        <v>142</v>
      </c>
      <c r="E35" s="1" t="s">
        <v>170</v>
      </c>
      <c r="F35" s="19" t="s">
        <v>175</v>
      </c>
      <c r="G35" s="19" t="s">
        <v>174</v>
      </c>
      <c r="H35" s="20" t="s">
        <v>180</v>
      </c>
      <c r="I35" s="27">
        <v>6.625</v>
      </c>
      <c r="J35" s="27">
        <v>7.625</v>
      </c>
      <c r="K35" s="23" t="s">
        <v>155</v>
      </c>
      <c r="L35" s="25" t="s">
        <v>161</v>
      </c>
      <c r="M35" s="23" t="s">
        <v>165</v>
      </c>
      <c r="N35" s="25" t="s">
        <v>72</v>
      </c>
      <c r="O35" s="20" t="s">
        <v>141</v>
      </c>
      <c r="P35" s="24" t="s">
        <v>141</v>
      </c>
      <c r="Q35" s="24" t="s">
        <v>141</v>
      </c>
      <c r="R35" s="26">
        <v>7</v>
      </c>
      <c r="S35" s="20" t="s">
        <v>141</v>
      </c>
    </row>
    <row r="36" spans="1:19" x14ac:dyDescent="0.25">
      <c r="A36" s="53" t="s">
        <v>166</v>
      </c>
      <c r="B36" s="25" t="s">
        <v>96</v>
      </c>
      <c r="C36" s="22" t="s">
        <v>186</v>
      </c>
      <c r="D36" s="19" t="s">
        <v>142</v>
      </c>
      <c r="E36" s="1" t="s">
        <v>170</v>
      </c>
      <c r="F36" s="19" t="s">
        <v>144</v>
      </c>
      <c r="G36" s="19" t="s">
        <v>146</v>
      </c>
      <c r="H36" s="20" t="s">
        <v>180</v>
      </c>
      <c r="I36" s="27">
        <v>7.25</v>
      </c>
      <c r="J36" s="27">
        <v>8.25</v>
      </c>
      <c r="K36" s="23" t="s">
        <v>155</v>
      </c>
      <c r="L36" s="25" t="s">
        <v>161</v>
      </c>
      <c r="M36" s="23" t="s">
        <v>164</v>
      </c>
      <c r="N36" s="25" t="s">
        <v>72</v>
      </c>
      <c r="O36" s="20" t="s">
        <v>141</v>
      </c>
      <c r="P36" s="24" t="s">
        <v>141</v>
      </c>
      <c r="Q36" s="24" t="s">
        <v>141</v>
      </c>
      <c r="R36" s="26">
        <v>13</v>
      </c>
      <c r="S36" s="20" t="s">
        <v>141</v>
      </c>
    </row>
    <row r="37" spans="1:19" x14ac:dyDescent="0.25">
      <c r="A37" s="53" t="s">
        <v>166</v>
      </c>
      <c r="B37" s="25" t="s">
        <v>97</v>
      </c>
      <c r="C37" s="22" t="s">
        <v>186</v>
      </c>
      <c r="D37" s="19" t="s">
        <v>142</v>
      </c>
      <c r="E37" s="1" t="s">
        <v>171</v>
      </c>
      <c r="F37" s="19" t="s">
        <v>144</v>
      </c>
      <c r="G37" s="19" t="s">
        <v>141</v>
      </c>
      <c r="H37" s="20" t="s">
        <v>180</v>
      </c>
      <c r="I37" s="28" t="s">
        <v>141</v>
      </c>
      <c r="J37" s="28" t="s">
        <v>141</v>
      </c>
      <c r="K37" s="23" t="s">
        <v>150</v>
      </c>
      <c r="L37" s="25" t="s">
        <v>161</v>
      </c>
      <c r="M37" s="23" t="s">
        <v>165</v>
      </c>
      <c r="N37" s="25" t="s">
        <v>98</v>
      </c>
      <c r="O37" s="20" t="s">
        <v>141</v>
      </c>
      <c r="P37" s="24" t="s">
        <v>141</v>
      </c>
      <c r="Q37" s="24" t="s">
        <v>141</v>
      </c>
      <c r="R37" s="26">
        <v>8</v>
      </c>
      <c r="S37" s="20" t="s">
        <v>141</v>
      </c>
    </row>
    <row r="38" spans="1:19" x14ac:dyDescent="0.25">
      <c r="A38" s="53" t="s">
        <v>166</v>
      </c>
      <c r="B38" s="25" t="s">
        <v>99</v>
      </c>
      <c r="C38" s="22" t="s">
        <v>186</v>
      </c>
      <c r="D38" s="19" t="s">
        <v>142</v>
      </c>
      <c r="E38" s="1" t="s">
        <v>170</v>
      </c>
      <c r="F38" s="19" t="s">
        <v>175</v>
      </c>
      <c r="G38" s="19" t="s">
        <v>174</v>
      </c>
      <c r="H38" s="20" t="s">
        <v>180</v>
      </c>
      <c r="I38" s="27">
        <v>6.625</v>
      </c>
      <c r="J38" s="27">
        <v>7.625</v>
      </c>
      <c r="K38" s="23" t="s">
        <v>155</v>
      </c>
      <c r="L38" s="25" t="s">
        <v>161</v>
      </c>
      <c r="M38" s="23" t="s">
        <v>165</v>
      </c>
      <c r="N38" s="25" t="s">
        <v>72</v>
      </c>
      <c r="O38" s="20" t="s">
        <v>141</v>
      </c>
      <c r="P38" s="24" t="s">
        <v>141</v>
      </c>
      <c r="Q38" s="24" t="s">
        <v>141</v>
      </c>
      <c r="R38" s="26">
        <v>7</v>
      </c>
      <c r="S38" s="20" t="s">
        <v>141</v>
      </c>
    </row>
    <row r="39" spans="1:19" x14ac:dyDescent="0.25">
      <c r="A39" s="53" t="s">
        <v>166</v>
      </c>
      <c r="B39" s="25" t="s">
        <v>100</v>
      </c>
      <c r="C39" s="22" t="s">
        <v>186</v>
      </c>
      <c r="D39" s="19" t="s">
        <v>142</v>
      </c>
      <c r="E39" s="1" t="s">
        <v>170</v>
      </c>
      <c r="F39" s="19" t="s">
        <v>144</v>
      </c>
      <c r="G39" s="19" t="s">
        <v>146</v>
      </c>
      <c r="H39" s="20" t="s">
        <v>180</v>
      </c>
      <c r="I39" s="27">
        <v>7.25</v>
      </c>
      <c r="J39" s="27">
        <v>8.25</v>
      </c>
      <c r="K39" s="23" t="s">
        <v>155</v>
      </c>
      <c r="L39" s="25" t="s">
        <v>161</v>
      </c>
      <c r="M39" s="23" t="s">
        <v>164</v>
      </c>
      <c r="N39" s="25" t="s">
        <v>72</v>
      </c>
      <c r="O39" s="20" t="s">
        <v>141</v>
      </c>
      <c r="P39" s="24" t="s">
        <v>141</v>
      </c>
      <c r="Q39" s="24" t="s">
        <v>141</v>
      </c>
      <c r="R39" s="26">
        <v>13</v>
      </c>
      <c r="S39" s="20" t="s">
        <v>141</v>
      </c>
    </row>
    <row r="40" spans="1:19" x14ac:dyDescent="0.25">
      <c r="A40" s="53" t="s">
        <v>166</v>
      </c>
      <c r="B40" s="25" t="s">
        <v>101</v>
      </c>
      <c r="C40" s="22" t="s">
        <v>186</v>
      </c>
      <c r="D40" s="19" t="s">
        <v>142</v>
      </c>
      <c r="E40" s="1" t="s">
        <v>171</v>
      </c>
      <c r="F40" s="19" t="s">
        <v>144</v>
      </c>
      <c r="G40" s="19" t="s">
        <v>141</v>
      </c>
      <c r="H40" s="20" t="s">
        <v>180</v>
      </c>
      <c r="I40" s="28" t="s">
        <v>141</v>
      </c>
      <c r="J40" s="28" t="s">
        <v>141</v>
      </c>
      <c r="K40" s="23" t="s">
        <v>150</v>
      </c>
      <c r="L40" s="25" t="s">
        <v>161</v>
      </c>
      <c r="M40" s="23" t="s">
        <v>165</v>
      </c>
      <c r="N40" s="25" t="s">
        <v>98</v>
      </c>
      <c r="O40" s="20" t="s">
        <v>141</v>
      </c>
      <c r="P40" s="24" t="s">
        <v>141</v>
      </c>
      <c r="Q40" s="24" t="s">
        <v>141</v>
      </c>
      <c r="R40" s="26">
        <v>8</v>
      </c>
      <c r="S40" s="20" t="s">
        <v>141</v>
      </c>
    </row>
    <row r="41" spans="1:19" x14ac:dyDescent="0.25">
      <c r="A41" s="53" t="s">
        <v>166</v>
      </c>
      <c r="B41" s="25" t="s">
        <v>102</v>
      </c>
      <c r="C41" s="22" t="s">
        <v>186</v>
      </c>
      <c r="D41" s="19" t="s">
        <v>142</v>
      </c>
      <c r="E41" s="1" t="s">
        <v>170</v>
      </c>
      <c r="F41" s="19" t="s">
        <v>144</v>
      </c>
      <c r="G41" s="19" t="s">
        <v>146</v>
      </c>
      <c r="H41" s="20" t="s">
        <v>180</v>
      </c>
      <c r="I41" s="27">
        <v>7.25</v>
      </c>
      <c r="J41" s="27">
        <v>8.25</v>
      </c>
      <c r="K41" s="23" t="s">
        <v>155</v>
      </c>
      <c r="L41" s="25" t="s">
        <v>161</v>
      </c>
      <c r="M41" s="23" t="s">
        <v>165</v>
      </c>
      <c r="N41" s="25" t="s">
        <v>72</v>
      </c>
      <c r="O41" s="20" t="s">
        <v>141</v>
      </c>
      <c r="P41" s="24" t="s">
        <v>141</v>
      </c>
      <c r="Q41" s="24" t="s">
        <v>141</v>
      </c>
      <c r="R41" s="26">
        <v>9</v>
      </c>
      <c r="S41" s="20" t="s">
        <v>141</v>
      </c>
    </row>
    <row r="42" spans="1:19" x14ac:dyDescent="0.25">
      <c r="A42" s="53" t="s">
        <v>166</v>
      </c>
      <c r="B42" s="25" t="s">
        <v>103</v>
      </c>
      <c r="C42" s="22" t="s">
        <v>186</v>
      </c>
      <c r="D42" s="19" t="s">
        <v>178</v>
      </c>
      <c r="E42" s="1" t="s">
        <v>177</v>
      </c>
      <c r="F42" s="19" t="s">
        <v>144</v>
      </c>
      <c r="G42" s="19" t="s">
        <v>146</v>
      </c>
      <c r="H42" s="20" t="s">
        <v>180</v>
      </c>
      <c r="I42" s="27">
        <v>7.25</v>
      </c>
      <c r="J42" s="27">
        <v>8.25</v>
      </c>
      <c r="K42" s="25" t="s">
        <v>153</v>
      </c>
      <c r="L42" s="25" t="s">
        <v>159</v>
      </c>
      <c r="M42" s="25" t="s">
        <v>166</v>
      </c>
      <c r="N42" s="25" t="s">
        <v>104</v>
      </c>
      <c r="O42" s="20" t="s">
        <v>141</v>
      </c>
      <c r="P42" s="24" t="s">
        <v>141</v>
      </c>
      <c r="Q42" s="24" t="s">
        <v>141</v>
      </c>
      <c r="R42" s="26">
        <v>10</v>
      </c>
      <c r="S42" s="20" t="s">
        <v>127</v>
      </c>
    </row>
    <row r="43" spans="1:19" x14ac:dyDescent="0.25">
      <c r="A43" s="53" t="s">
        <v>166</v>
      </c>
      <c r="B43" s="25" t="s">
        <v>106</v>
      </c>
      <c r="C43" s="22" t="s">
        <v>186</v>
      </c>
      <c r="D43" s="19" t="s">
        <v>142</v>
      </c>
      <c r="E43" s="1" t="s">
        <v>171</v>
      </c>
      <c r="F43" s="19" t="s">
        <v>144</v>
      </c>
      <c r="G43" s="19" t="s">
        <v>146</v>
      </c>
      <c r="H43" s="20" t="s">
        <v>180</v>
      </c>
      <c r="I43" s="27">
        <v>7.25</v>
      </c>
      <c r="J43" s="27">
        <v>8.25</v>
      </c>
      <c r="K43" s="23" t="s">
        <v>150</v>
      </c>
      <c r="L43" s="25" t="s">
        <v>161</v>
      </c>
      <c r="M43" s="23" t="s">
        <v>165</v>
      </c>
      <c r="N43" s="25" t="s">
        <v>98</v>
      </c>
      <c r="O43" s="20" t="s">
        <v>141</v>
      </c>
      <c r="P43" s="24" t="s">
        <v>141</v>
      </c>
      <c r="Q43" s="24" t="s">
        <v>141</v>
      </c>
      <c r="R43" s="26">
        <v>17</v>
      </c>
      <c r="S43" s="20" t="s">
        <v>141</v>
      </c>
    </row>
    <row r="44" spans="1:19" x14ac:dyDescent="0.25">
      <c r="A44" s="53" t="s">
        <v>166</v>
      </c>
      <c r="B44" s="25" t="s">
        <v>107</v>
      </c>
      <c r="C44" s="22" t="s">
        <v>186</v>
      </c>
      <c r="D44" s="19" t="s">
        <v>142</v>
      </c>
      <c r="E44" s="1" t="s">
        <v>171</v>
      </c>
      <c r="F44" s="19" t="s">
        <v>175</v>
      </c>
      <c r="G44" s="19" t="s">
        <v>174</v>
      </c>
      <c r="H44" s="20" t="s">
        <v>180</v>
      </c>
      <c r="I44" s="27">
        <v>6.625</v>
      </c>
      <c r="J44" s="27">
        <v>7.625</v>
      </c>
      <c r="K44" s="23" t="s">
        <v>155</v>
      </c>
      <c r="L44" s="25" t="s">
        <v>161</v>
      </c>
      <c r="M44" s="23" t="s">
        <v>164</v>
      </c>
      <c r="N44" s="25" t="s">
        <v>72</v>
      </c>
      <c r="O44" s="20" t="s">
        <v>141</v>
      </c>
      <c r="P44" s="24" t="s">
        <v>141</v>
      </c>
      <c r="Q44" s="24" t="s">
        <v>141</v>
      </c>
      <c r="R44" s="26">
        <v>4</v>
      </c>
      <c r="S44" s="20" t="s">
        <v>128</v>
      </c>
    </row>
    <row r="45" spans="1:19" x14ac:dyDescent="0.25">
      <c r="A45" s="54">
        <v>1</v>
      </c>
      <c r="B45" s="32" t="s">
        <v>108</v>
      </c>
      <c r="C45" s="33"/>
      <c r="D45" s="37" t="s">
        <v>141</v>
      </c>
      <c r="E45" s="37" t="s">
        <v>141</v>
      </c>
      <c r="F45" s="37" t="s">
        <v>141</v>
      </c>
      <c r="G45" s="37" t="s">
        <v>141</v>
      </c>
      <c r="H45" s="31" t="s">
        <v>180</v>
      </c>
      <c r="I45" s="37" t="s">
        <v>141</v>
      </c>
      <c r="J45" s="37" t="s">
        <v>141</v>
      </c>
      <c r="K45" s="38" t="s">
        <v>156</v>
      </c>
      <c r="L45" s="32" t="s">
        <v>158</v>
      </c>
      <c r="M45" s="31" t="s">
        <v>141</v>
      </c>
      <c r="N45" s="32" t="s">
        <v>109</v>
      </c>
      <c r="O45" s="31" t="s">
        <v>141</v>
      </c>
      <c r="P45" s="36" t="s">
        <v>141</v>
      </c>
      <c r="Q45" s="36" t="s">
        <v>141</v>
      </c>
      <c r="R45" s="32" t="s">
        <v>110</v>
      </c>
      <c r="S45" s="31" t="s">
        <v>141</v>
      </c>
    </row>
    <row r="46" spans="1:19" x14ac:dyDescent="0.25">
      <c r="A46" s="54">
        <v>1</v>
      </c>
      <c r="B46" s="32" t="s">
        <v>111</v>
      </c>
      <c r="C46" s="33"/>
      <c r="D46" s="37" t="s">
        <v>141</v>
      </c>
      <c r="E46" s="37" t="s">
        <v>141</v>
      </c>
      <c r="F46" s="37" t="s">
        <v>141</v>
      </c>
      <c r="G46" s="37" t="s">
        <v>141</v>
      </c>
      <c r="H46" s="31" t="s">
        <v>180</v>
      </c>
      <c r="I46" s="37" t="s">
        <v>141</v>
      </c>
      <c r="J46" s="37" t="s">
        <v>141</v>
      </c>
      <c r="K46" s="38" t="s">
        <v>156</v>
      </c>
      <c r="L46" s="32" t="s">
        <v>158</v>
      </c>
      <c r="M46" s="31" t="s">
        <v>141</v>
      </c>
      <c r="N46" s="32" t="s">
        <v>109</v>
      </c>
      <c r="O46" s="31" t="s">
        <v>141</v>
      </c>
      <c r="P46" s="36" t="s">
        <v>141</v>
      </c>
      <c r="Q46" s="36" t="s">
        <v>141</v>
      </c>
      <c r="R46" s="32" t="s">
        <v>110</v>
      </c>
      <c r="S46" s="31" t="s">
        <v>141</v>
      </c>
    </row>
    <row r="47" spans="1:19" x14ac:dyDescent="0.25">
      <c r="A47" s="54">
        <v>1</v>
      </c>
      <c r="B47" s="32" t="s">
        <v>112</v>
      </c>
      <c r="C47" s="33"/>
      <c r="D47" s="34" t="s">
        <v>176</v>
      </c>
      <c r="E47" s="35" t="s">
        <v>176</v>
      </c>
      <c r="F47" s="34" t="s">
        <v>176</v>
      </c>
      <c r="G47" s="34" t="s">
        <v>176</v>
      </c>
      <c r="H47" s="31" t="s">
        <v>176</v>
      </c>
      <c r="I47" s="34" t="s">
        <v>176</v>
      </c>
      <c r="J47" s="34" t="s">
        <v>176</v>
      </c>
      <c r="K47" s="31" t="s">
        <v>148</v>
      </c>
      <c r="L47" s="32" t="s">
        <v>162</v>
      </c>
      <c r="M47" s="32" t="s">
        <v>163</v>
      </c>
      <c r="N47" s="32" t="s">
        <v>113</v>
      </c>
      <c r="O47" s="31" t="s">
        <v>141</v>
      </c>
      <c r="P47" s="36" t="s">
        <v>141</v>
      </c>
      <c r="Q47" s="36" t="s">
        <v>141</v>
      </c>
      <c r="R47" s="32" t="s">
        <v>114</v>
      </c>
      <c r="S47" s="31" t="s">
        <v>133</v>
      </c>
    </row>
    <row r="48" spans="1:19" x14ac:dyDescent="0.25">
      <c r="A48" s="53" t="s">
        <v>166</v>
      </c>
      <c r="B48" s="25" t="s">
        <v>115</v>
      </c>
      <c r="C48" s="22" t="s">
        <v>187</v>
      </c>
      <c r="D48" s="19" t="s">
        <v>142</v>
      </c>
      <c r="E48" s="1" t="s">
        <v>170</v>
      </c>
      <c r="F48" s="19" t="s">
        <v>175</v>
      </c>
      <c r="G48" s="19" t="s">
        <v>179</v>
      </c>
      <c r="H48" s="20" t="s">
        <v>180</v>
      </c>
      <c r="I48" s="27">
        <v>6.625</v>
      </c>
      <c r="J48" s="27">
        <v>7.625</v>
      </c>
      <c r="K48" s="23" t="s">
        <v>155</v>
      </c>
      <c r="L48" s="25" t="s">
        <v>161</v>
      </c>
      <c r="M48" s="23" t="s">
        <v>164</v>
      </c>
      <c r="N48" s="25" t="s">
        <v>72</v>
      </c>
      <c r="O48" s="20" t="s">
        <v>141</v>
      </c>
      <c r="P48" s="24" t="s">
        <v>141</v>
      </c>
      <c r="Q48" s="24" t="s">
        <v>141</v>
      </c>
      <c r="R48" s="26">
        <v>4</v>
      </c>
      <c r="S48" s="20" t="s">
        <v>141</v>
      </c>
    </row>
    <row r="49" spans="1:19" x14ac:dyDescent="0.25">
      <c r="A49" s="53" t="s">
        <v>166</v>
      </c>
      <c r="B49" s="25" t="s">
        <v>116</v>
      </c>
      <c r="C49" s="22" t="s">
        <v>187</v>
      </c>
      <c r="D49" s="19" t="s">
        <v>142</v>
      </c>
      <c r="E49" s="1" t="s">
        <v>170</v>
      </c>
      <c r="F49" s="19" t="s">
        <v>144</v>
      </c>
      <c r="G49" s="19" t="s">
        <v>72</v>
      </c>
      <c r="H49" s="20" t="s">
        <v>180</v>
      </c>
      <c r="I49" s="27">
        <v>4.875</v>
      </c>
      <c r="J49" s="27">
        <v>5.875</v>
      </c>
      <c r="K49" s="23" t="s">
        <v>155</v>
      </c>
      <c r="L49" s="25" t="s">
        <v>161</v>
      </c>
      <c r="M49" s="23" t="s">
        <v>165</v>
      </c>
      <c r="N49" s="25" t="s">
        <v>72</v>
      </c>
      <c r="O49" s="20" t="s">
        <v>141</v>
      </c>
      <c r="P49" s="24" t="s">
        <v>141</v>
      </c>
      <c r="Q49" s="24" t="s">
        <v>141</v>
      </c>
      <c r="R49" s="26">
        <v>6</v>
      </c>
      <c r="S49" s="20" t="s">
        <v>141</v>
      </c>
    </row>
    <row r="50" spans="1:19" x14ac:dyDescent="0.25">
      <c r="A50" s="55">
        <f>SUM(A2:A49)</f>
        <v>358</v>
      </c>
    </row>
    <row r="51" spans="1:19" x14ac:dyDescent="0.25">
      <c r="A51" s="51"/>
    </row>
  </sheetData>
  <phoneticPr fontId="6" type="noConversion"/>
  <pageMargins left="0.7" right="0.7" top="0.75" bottom="0.75" header="0.3" footer="0.3"/>
  <ignoredErrors>
    <ignoredError sqref="K2 K11 K47 K3:K10 K48:K49 K12 K45:K46 K25:K44 K14:K23 K13 K24 L45:L46 L16:L44 L47:L49" twoDigitTextYear="1"/>
    <ignoredError sqref="M2:M3 M44 M39 M36 M34 M28:M29 M16:M26 M6 M4:M5 M9:M15 M27 M30:M33 M35 M37:M38 M40:M43 M49 M7:M8 M47:M48 A16:A44 A48:A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BC18-EFBB-403F-83AD-B89B0F502728}">
  <dimension ref="A1:P26"/>
  <sheetViews>
    <sheetView workbookViewId="0">
      <selection activeCell="R19" sqref="R19"/>
    </sheetView>
  </sheetViews>
  <sheetFormatPr defaultRowHeight="13.2" x14ac:dyDescent="0.25"/>
  <cols>
    <col min="1" max="1" width="11.77734375" bestFit="1" customWidth="1"/>
    <col min="2" max="2" width="10.44140625" bestFit="1" customWidth="1"/>
    <col min="3" max="3" width="11.109375" bestFit="1" customWidth="1"/>
    <col min="4" max="4" width="11" bestFit="1" customWidth="1"/>
    <col min="5" max="5" width="10.77734375" bestFit="1" customWidth="1"/>
  </cols>
  <sheetData>
    <row r="1" spans="1:16" x14ac:dyDescent="0.25">
      <c r="A1" s="50" t="s">
        <v>18</v>
      </c>
      <c r="B1" s="50"/>
      <c r="C1" s="50"/>
      <c r="D1" s="50"/>
      <c r="E1" s="50"/>
      <c r="F1" s="50"/>
    </row>
    <row r="2" spans="1:16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3" t="s">
        <v>46</v>
      </c>
    </row>
    <row r="3" spans="1:16" x14ac:dyDescent="0.25">
      <c r="A3" s="2" t="s">
        <v>24</v>
      </c>
      <c r="B3" s="3">
        <v>0</v>
      </c>
      <c r="C3" s="3">
        <v>4</v>
      </c>
      <c r="D3" s="3">
        <v>6</v>
      </c>
      <c r="E3" s="3">
        <v>4</v>
      </c>
      <c r="F3" s="6">
        <f>SUM(B3:E3)</f>
        <v>14</v>
      </c>
    </row>
    <row r="4" spans="1:16" x14ac:dyDescent="0.25">
      <c r="A4" s="2" t="s">
        <v>25</v>
      </c>
      <c r="B4" s="3">
        <v>0</v>
      </c>
      <c r="C4" s="3">
        <v>0</v>
      </c>
      <c r="D4" s="3">
        <v>0</v>
      </c>
      <c r="E4" s="3">
        <v>0</v>
      </c>
      <c r="F4" s="6">
        <f t="shared" ref="F4:F11" si="0">SUM(B4:E4)</f>
        <v>0</v>
      </c>
    </row>
    <row r="5" spans="1:16" x14ac:dyDescent="0.25">
      <c r="A5" s="2" t="s">
        <v>26</v>
      </c>
      <c r="B5" s="3">
        <v>3</v>
      </c>
      <c r="C5" s="3">
        <v>0</v>
      </c>
      <c r="D5" s="3">
        <v>0</v>
      </c>
      <c r="E5" s="3">
        <v>0</v>
      </c>
      <c r="F5" s="6">
        <f t="shared" si="0"/>
        <v>3</v>
      </c>
    </row>
    <row r="6" spans="1:16" x14ac:dyDescent="0.25">
      <c r="A6" s="2" t="s">
        <v>27</v>
      </c>
      <c r="B6" s="3">
        <v>1</v>
      </c>
      <c r="C6" s="3">
        <v>0</v>
      </c>
      <c r="D6" s="3">
        <v>0</v>
      </c>
      <c r="E6" s="3">
        <v>0</v>
      </c>
      <c r="F6" s="6">
        <f t="shared" si="0"/>
        <v>1</v>
      </c>
    </row>
    <row r="7" spans="1:16" x14ac:dyDescent="0.25">
      <c r="A7" s="2" t="s">
        <v>28</v>
      </c>
      <c r="B7" s="3">
        <v>0</v>
      </c>
      <c r="C7" s="3">
        <v>4</v>
      </c>
      <c r="D7" s="3">
        <v>2</v>
      </c>
      <c r="E7" s="3">
        <v>4</v>
      </c>
      <c r="F7" s="6">
        <f t="shared" si="0"/>
        <v>10</v>
      </c>
    </row>
    <row r="8" spans="1:16" x14ac:dyDescent="0.25">
      <c r="A8" s="2" t="s">
        <v>29</v>
      </c>
      <c r="B8" s="3">
        <v>0</v>
      </c>
      <c r="C8" s="3">
        <v>0</v>
      </c>
      <c r="D8" s="3">
        <v>0</v>
      </c>
      <c r="E8" s="3">
        <v>0</v>
      </c>
      <c r="F8" s="6">
        <f t="shared" si="0"/>
        <v>0</v>
      </c>
    </row>
    <row r="9" spans="1:16" x14ac:dyDescent="0.25">
      <c r="A9" s="2" t="s">
        <v>30</v>
      </c>
      <c r="B9" s="3">
        <v>3</v>
      </c>
      <c r="C9" s="3">
        <v>0</v>
      </c>
      <c r="D9" s="3">
        <v>0</v>
      </c>
      <c r="E9" s="3">
        <v>0</v>
      </c>
      <c r="F9" s="6">
        <f t="shared" si="0"/>
        <v>3</v>
      </c>
    </row>
    <row r="10" spans="1:16" x14ac:dyDescent="0.25">
      <c r="A10" s="2" t="s">
        <v>31</v>
      </c>
      <c r="B10" s="3">
        <v>1</v>
      </c>
      <c r="C10" s="3">
        <v>0</v>
      </c>
      <c r="D10" s="3">
        <v>0</v>
      </c>
      <c r="E10" s="3">
        <v>0</v>
      </c>
      <c r="F10" s="6">
        <f t="shared" si="0"/>
        <v>1</v>
      </c>
    </row>
    <row r="11" spans="1:16" x14ac:dyDescent="0.25">
      <c r="A11" s="10" t="s">
        <v>46</v>
      </c>
      <c r="B11" s="4">
        <f>SUM(B3:B10)</f>
        <v>8</v>
      </c>
      <c r="C11" s="4">
        <f t="shared" ref="C11:E11" si="1">SUM(C3:C10)</f>
        <v>8</v>
      </c>
      <c r="D11" s="4">
        <f t="shared" si="1"/>
        <v>8</v>
      </c>
      <c r="E11" s="4">
        <f t="shared" si="1"/>
        <v>8</v>
      </c>
      <c r="F11" s="8">
        <f t="shared" si="0"/>
        <v>32</v>
      </c>
    </row>
    <row r="14" spans="1:16" x14ac:dyDescent="0.25">
      <c r="A14" s="50" t="s">
        <v>32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</row>
    <row r="15" spans="1:16" x14ac:dyDescent="0.25">
      <c r="A15" s="3" t="s">
        <v>19</v>
      </c>
      <c r="B15" s="3" t="s">
        <v>33</v>
      </c>
      <c r="C15" s="3" t="s">
        <v>34</v>
      </c>
      <c r="D15" s="3" t="s">
        <v>35</v>
      </c>
      <c r="E15" s="3" t="s">
        <v>36</v>
      </c>
      <c r="F15" s="1" t="s">
        <v>137</v>
      </c>
      <c r="G15" s="1" t="s">
        <v>138</v>
      </c>
      <c r="H15" s="1" t="s">
        <v>139</v>
      </c>
      <c r="I15" s="3" t="s">
        <v>44</v>
      </c>
      <c r="J15" s="3" t="s">
        <v>45</v>
      </c>
      <c r="K15" s="3" t="s">
        <v>39</v>
      </c>
      <c r="L15" s="3" t="s">
        <v>40</v>
      </c>
      <c r="M15" s="3" t="s">
        <v>41</v>
      </c>
      <c r="N15" s="3" t="s">
        <v>42</v>
      </c>
      <c r="O15" s="3" t="s">
        <v>43</v>
      </c>
      <c r="P15" s="3" t="s">
        <v>46</v>
      </c>
    </row>
    <row r="16" spans="1:16" x14ac:dyDescent="0.25">
      <c r="A16" s="2" t="s">
        <v>24</v>
      </c>
      <c r="B16" s="3">
        <v>1</v>
      </c>
      <c r="C16" s="3">
        <v>0</v>
      </c>
      <c r="D16" s="3">
        <v>2</v>
      </c>
      <c r="E16" s="3">
        <v>0</v>
      </c>
      <c r="F16" s="3">
        <v>1</v>
      </c>
      <c r="G16" s="3">
        <v>0</v>
      </c>
      <c r="H16" s="3">
        <v>1</v>
      </c>
      <c r="I16" s="3">
        <v>0</v>
      </c>
      <c r="J16" s="3">
        <v>0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f>SUM(B16:O16)</f>
        <v>10</v>
      </c>
    </row>
    <row r="17" spans="1:16" x14ac:dyDescent="0.25">
      <c r="A17" s="2" t="s">
        <v>25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f t="shared" ref="P17:P24" si="2">SUM(B17:O17)</f>
        <v>0</v>
      </c>
    </row>
    <row r="18" spans="1:16" x14ac:dyDescent="0.25">
      <c r="A18" s="2" t="s">
        <v>26</v>
      </c>
      <c r="B18" s="3">
        <v>0</v>
      </c>
      <c r="C18" s="3">
        <v>1</v>
      </c>
      <c r="D18" s="3">
        <v>2</v>
      </c>
      <c r="E18" s="3">
        <v>0</v>
      </c>
      <c r="F18" s="3">
        <v>0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1</v>
      </c>
      <c r="M18" s="3">
        <v>1</v>
      </c>
      <c r="N18" s="3">
        <v>1</v>
      </c>
      <c r="O18" s="3">
        <v>0</v>
      </c>
      <c r="P18" s="3">
        <f t="shared" si="2"/>
        <v>8</v>
      </c>
    </row>
    <row r="19" spans="1:16" x14ac:dyDescent="0.25">
      <c r="A19" s="2" t="s">
        <v>27</v>
      </c>
      <c r="B19" s="3">
        <v>0</v>
      </c>
      <c r="C19" s="3">
        <v>1</v>
      </c>
      <c r="D19" s="3">
        <v>2</v>
      </c>
      <c r="E19" s="3">
        <v>0</v>
      </c>
      <c r="F19" s="3">
        <v>0</v>
      </c>
      <c r="G19" s="3">
        <v>1</v>
      </c>
      <c r="H19" s="3">
        <v>1</v>
      </c>
      <c r="I19" s="3">
        <v>0</v>
      </c>
      <c r="J19" s="3">
        <v>0</v>
      </c>
      <c r="K19" s="3">
        <v>0</v>
      </c>
      <c r="L19" s="3">
        <v>1</v>
      </c>
      <c r="M19" s="3">
        <v>1</v>
      </c>
      <c r="N19" s="3">
        <v>1</v>
      </c>
      <c r="O19" s="3">
        <v>0</v>
      </c>
      <c r="P19" s="3">
        <f t="shared" si="2"/>
        <v>8</v>
      </c>
    </row>
    <row r="20" spans="1:16" x14ac:dyDescent="0.25">
      <c r="A20" s="2" t="s">
        <v>28</v>
      </c>
      <c r="B20" s="3">
        <v>0</v>
      </c>
      <c r="C20" s="3">
        <v>1</v>
      </c>
      <c r="D20" s="3">
        <v>3</v>
      </c>
      <c r="E20" s="3">
        <v>1</v>
      </c>
      <c r="F20" s="3">
        <v>0</v>
      </c>
      <c r="G20" s="3">
        <v>0</v>
      </c>
      <c r="H20" s="3">
        <v>1</v>
      </c>
      <c r="I20" s="3">
        <v>1</v>
      </c>
      <c r="J20" s="3">
        <v>1</v>
      </c>
      <c r="K20" s="3">
        <v>0</v>
      </c>
      <c r="L20" s="3">
        <v>2</v>
      </c>
      <c r="M20" s="3">
        <v>2</v>
      </c>
      <c r="N20" s="3">
        <v>1</v>
      </c>
      <c r="O20" s="3">
        <v>0</v>
      </c>
      <c r="P20" s="3">
        <f t="shared" si="2"/>
        <v>13</v>
      </c>
    </row>
    <row r="21" spans="1:16" x14ac:dyDescent="0.25">
      <c r="A21" s="2" t="s">
        <v>29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f t="shared" si="2"/>
        <v>0</v>
      </c>
    </row>
    <row r="22" spans="1:16" x14ac:dyDescent="0.25">
      <c r="A22" s="2" t="s">
        <v>30</v>
      </c>
      <c r="B22" s="3">
        <v>0</v>
      </c>
      <c r="C22" s="3">
        <v>1</v>
      </c>
      <c r="D22" s="3">
        <v>4</v>
      </c>
      <c r="E22" s="3">
        <v>0</v>
      </c>
      <c r="F22" s="3">
        <v>0</v>
      </c>
      <c r="G22" s="3">
        <v>0</v>
      </c>
      <c r="H22" s="3">
        <v>1</v>
      </c>
      <c r="I22" s="3">
        <v>1</v>
      </c>
      <c r="J22" s="3">
        <v>1</v>
      </c>
      <c r="K22" s="3">
        <v>0</v>
      </c>
      <c r="L22" s="3">
        <v>2</v>
      </c>
      <c r="M22" s="3">
        <v>2</v>
      </c>
      <c r="N22" s="3">
        <v>1</v>
      </c>
      <c r="O22" s="3">
        <v>0</v>
      </c>
      <c r="P22" s="3">
        <f t="shared" si="2"/>
        <v>13</v>
      </c>
    </row>
    <row r="23" spans="1:16" x14ac:dyDescent="0.25">
      <c r="A23" s="2" t="s">
        <v>31</v>
      </c>
      <c r="B23" s="3">
        <v>0</v>
      </c>
      <c r="C23" s="3">
        <v>1</v>
      </c>
      <c r="D23" s="3">
        <v>4</v>
      </c>
      <c r="E23" s="3">
        <v>0</v>
      </c>
      <c r="F23" s="3">
        <v>0</v>
      </c>
      <c r="G23" s="3">
        <v>0</v>
      </c>
      <c r="H23" s="3">
        <v>1</v>
      </c>
      <c r="I23" s="3">
        <v>1</v>
      </c>
      <c r="J23" s="3">
        <v>1</v>
      </c>
      <c r="K23" s="3">
        <v>0</v>
      </c>
      <c r="L23" s="3">
        <v>2</v>
      </c>
      <c r="M23" s="3">
        <v>2</v>
      </c>
      <c r="N23" s="3">
        <v>2</v>
      </c>
      <c r="O23" s="3">
        <v>0</v>
      </c>
      <c r="P23" s="3">
        <f t="shared" si="2"/>
        <v>14</v>
      </c>
    </row>
    <row r="24" spans="1:16" x14ac:dyDescent="0.25">
      <c r="A24" s="10" t="s">
        <v>46</v>
      </c>
      <c r="B24" s="4">
        <f>SUM(B16:B23)</f>
        <v>1</v>
      </c>
      <c r="C24" s="4">
        <f t="shared" ref="C24:O24" si="3">SUM(C16:C23)</f>
        <v>5</v>
      </c>
      <c r="D24" s="4">
        <f t="shared" si="3"/>
        <v>17</v>
      </c>
      <c r="E24" s="4">
        <f t="shared" si="3"/>
        <v>1</v>
      </c>
      <c r="F24" s="4">
        <f t="shared" si="3"/>
        <v>1</v>
      </c>
      <c r="G24" s="4">
        <f t="shared" si="3"/>
        <v>2</v>
      </c>
      <c r="H24" s="4">
        <f t="shared" si="3"/>
        <v>6</v>
      </c>
      <c r="I24" s="4">
        <f t="shared" si="3"/>
        <v>3</v>
      </c>
      <c r="J24" s="4">
        <f t="shared" si="3"/>
        <v>3</v>
      </c>
      <c r="K24" s="4">
        <f t="shared" si="3"/>
        <v>1</v>
      </c>
      <c r="L24" s="4">
        <f t="shared" si="3"/>
        <v>9</v>
      </c>
      <c r="M24" s="4">
        <f t="shared" si="3"/>
        <v>9</v>
      </c>
      <c r="N24" s="4">
        <f t="shared" si="3"/>
        <v>7</v>
      </c>
      <c r="O24" s="4">
        <f t="shared" si="3"/>
        <v>1</v>
      </c>
      <c r="P24" s="4">
        <f t="shared" si="2"/>
        <v>66</v>
      </c>
    </row>
    <row r="26" spans="1:16" x14ac:dyDescent="0.25">
      <c r="A26" s="9" t="s">
        <v>47</v>
      </c>
      <c r="B26">
        <f>SUMPRODUCT($F3:$F10,B16:B23)</f>
        <v>14</v>
      </c>
      <c r="C26">
        <f t="shared" ref="C26:O26" si="4">SUMPRODUCT($F3:$F10,C16:C23)</f>
        <v>18</v>
      </c>
      <c r="D26">
        <f t="shared" si="4"/>
        <v>82</v>
      </c>
      <c r="E26">
        <f t="shared" si="4"/>
        <v>10</v>
      </c>
      <c r="F26">
        <f t="shared" si="4"/>
        <v>14</v>
      </c>
      <c r="G26">
        <f t="shared" si="4"/>
        <v>4</v>
      </c>
      <c r="H26">
        <f t="shared" si="4"/>
        <v>32</v>
      </c>
      <c r="I26">
        <f t="shared" si="4"/>
        <v>14</v>
      </c>
      <c r="J26">
        <f t="shared" si="4"/>
        <v>14</v>
      </c>
      <c r="K26">
        <f t="shared" si="4"/>
        <v>14</v>
      </c>
      <c r="L26">
        <f t="shared" si="4"/>
        <v>46</v>
      </c>
      <c r="M26">
        <f t="shared" si="4"/>
        <v>46</v>
      </c>
      <c r="N26">
        <f t="shared" si="4"/>
        <v>33</v>
      </c>
      <c r="O26">
        <f t="shared" si="4"/>
        <v>14</v>
      </c>
    </row>
  </sheetData>
  <mergeCells count="2">
    <mergeCell ref="A1:F1"/>
    <mergeCell ref="A14:P14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tmcbride</dc:creator>
  <cp:lastModifiedBy>Nakul Balwaik</cp:lastModifiedBy>
  <dcterms:created xsi:type="dcterms:W3CDTF">2026-02-11T06:10:48Z</dcterms:created>
  <dcterms:modified xsi:type="dcterms:W3CDTF">2026-02-12T05:27:27Z</dcterms:modified>
</cp:coreProperties>
</file>
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of Takeoff" sheetId="1" state="visible" r:id="rId1"/>
    <sheet xmlns:r="http://schemas.openxmlformats.org/officeDocument/2006/relationships" name="Takeoff 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1" fillId="0" borderId="2" applyAlignment="1" pivotButton="0" quotePrefix="0" xfId="0">
      <alignment horizontal="left" vertical="center"/>
    </xf>
    <xf numFmtId="2" fontId="1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0" customWidth="1" min="3" max="3"/>
    <col width="12" customWidth="1" min="4" max="4"/>
    <col width="18" customWidth="1" min="5" max="5"/>
  </cols>
  <sheetData>
    <row r="1" ht="20" customHeight="1">
      <c r="A1" s="1" t="inlineStr">
        <is>
          <t>Name of Work:-</t>
        </is>
      </c>
    </row>
    <row r="2" ht="20" customHeight="1">
      <c r="A2" s="2" t="inlineStr">
        <is>
          <t>Proposed Construction of Sunil Mahant Residence</t>
        </is>
      </c>
    </row>
    <row r="3" ht="20" customHeight="1">
      <c r="A3" s="1" t="inlineStr">
        <is>
          <t>Name of Sub Work:-</t>
        </is>
      </c>
    </row>
    <row r="4" ht="20" customHeight="1">
      <c r="A4" s="2" t="inlineStr">
        <is>
          <t>Residential Building</t>
        </is>
      </c>
    </row>
    <row r="5" ht="20" customHeight="1">
      <c r="A5" s="2" t="inlineStr">
        <is>
          <t>SUMMARY OF QUANTITIES</t>
        </is>
      </c>
    </row>
    <row r="6" ht="25" customHeight="1">
      <c r="A6" s="3" t="inlineStr">
        <is>
          <t>Sr No.</t>
        </is>
      </c>
      <c r="B6" s="3" t="inlineStr">
        <is>
          <t>Category of Civil/Finishing Work</t>
        </is>
      </c>
      <c r="C6" s="3" t="inlineStr">
        <is>
          <t>Quantity Takeoff</t>
        </is>
      </c>
      <c r="D6" s="3" t="inlineStr">
        <is>
          <t>Unit</t>
        </is>
      </c>
    </row>
    <row r="7" ht="30" customHeight="1">
      <c r="A7" s="4" t="inlineStr">
        <is>
          <t>1.0</t>
        </is>
      </c>
      <c r="B7" s="5" t="inlineStr">
        <is>
          <t>Excavation Works</t>
        </is>
      </c>
      <c r="C7" s="6">
        <f>'Takeoff Measurements'!H10</f>
        <v/>
      </c>
      <c r="D7" s="5" t="inlineStr">
        <is>
          <t>Cu.M.</t>
        </is>
      </c>
    </row>
    <row r="8" ht="30" customHeight="1">
      <c r="A8" s="4" t="inlineStr">
        <is>
          <t>2.0</t>
        </is>
      </c>
      <c r="B8" s="5" t="inlineStr">
        <is>
          <t>Plain Cement Concrete (PCC)</t>
        </is>
      </c>
      <c r="C8" s="6">
        <f>'Takeoff Measurements'!H16</f>
        <v/>
      </c>
      <c r="D8" s="5" t="inlineStr">
        <is>
          <t>Cu.M.</t>
        </is>
      </c>
    </row>
    <row r="9" ht="30" customHeight="1">
      <c r="A9" s="4" t="inlineStr">
        <is>
          <t>3.0</t>
        </is>
      </c>
      <c r="B9" s="5" t="inlineStr">
        <is>
          <t>Reinforced Cement Concrete (RCC)</t>
        </is>
      </c>
      <c r="C9" s="6">
        <f>'Takeoff Measurements'!H40</f>
        <v/>
      </c>
      <c r="D9" s="5" t="inlineStr">
        <is>
          <t>Cu.M.</t>
        </is>
      </c>
    </row>
    <row r="10" ht="30" customHeight="1">
      <c r="A10" s="4" t="inlineStr">
        <is>
          <t>4.0</t>
        </is>
      </c>
      <c r="B10" s="5" t="inlineStr">
        <is>
          <t>Brickwork &amp; Partition Masonry</t>
        </is>
      </c>
      <c r="C10" s="6">
        <f>'Takeoff Measurements'!H85</f>
        <v/>
      </c>
      <c r="D10" s="5" t="inlineStr">
        <is>
          <t>Cu.M.</t>
        </is>
      </c>
    </row>
    <row r="11" ht="30" customHeight="1">
      <c r="A11" s="4" t="inlineStr">
        <is>
          <t>5.0</t>
        </is>
      </c>
      <c r="B11" s="5" t="inlineStr">
        <is>
          <t>Plastering Works</t>
        </is>
      </c>
      <c r="C11" s="6">
        <f>'Takeoff Measurements'!H177</f>
        <v/>
      </c>
      <c r="D11" s="5" t="inlineStr">
        <is>
          <t>Sqm</t>
        </is>
      </c>
    </row>
    <row r="12" ht="30" customHeight="1">
      <c r="A12" s="4" t="inlineStr">
        <is>
          <t>6.0</t>
        </is>
      </c>
      <c r="B12" s="5" t="inlineStr">
        <is>
          <t>Flooring &amp; Finishes</t>
        </is>
      </c>
      <c r="C12" s="6">
        <f>'Takeoff Measurements'!H250</f>
        <v/>
      </c>
      <c r="D12" s="5" t="inlineStr">
        <is>
          <t>Sqm</t>
        </is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  <col width="21" customWidth="1" min="5" max="5"/>
    <col width="12" customWidth="1" min="6" max="6"/>
    <col width="12" customWidth="1" min="7" max="7"/>
    <col width="28" customWidth="1" min="8" max="8"/>
    <col width="15" customWidth="1" min="9" max="9"/>
  </cols>
  <sheetData>
    <row r="1" ht="20" customHeight="1">
      <c r="A1" s="1" t="inlineStr">
        <is>
          <t>Name of Work:-</t>
        </is>
      </c>
    </row>
    <row r="2" ht="20" customHeight="1">
      <c r="A2" s="2" t="inlineStr">
        <is>
          <t>Proposed Construction of Sunil Mahant Residence</t>
        </is>
      </c>
    </row>
    <row r="3" ht="20" customHeight="1">
      <c r="A3" s="1" t="inlineStr">
        <is>
          <t>Name of Sub Work:-</t>
        </is>
      </c>
    </row>
    <row r="4" ht="20" customHeight="1">
      <c r="A4" s="2" t="inlineStr">
        <is>
          <t>Residential Building</t>
        </is>
      </c>
    </row>
    <row r="5" ht="20" customHeight="1">
      <c r="A5" s="2" t="inlineStr">
        <is>
          <t>DETAILED TAKE-OFF MEASUREMENTS</t>
        </is>
      </c>
    </row>
    <row r="6" ht="24" customHeight="1">
      <c r="A6" s="3" t="inlineStr">
        <is>
          <t>1.0</t>
        </is>
      </c>
      <c r="B6" s="7" t="inlineStr">
        <is>
          <t>Excavation Works</t>
        </is>
      </c>
      <c r="C6" s="5" t="inlineStr">
        <is>
          <t>Detailed Quantity Takeoff for Excavation Works</t>
        </is>
      </c>
      <c r="D6" s="8" t="n"/>
      <c r="E6" s="8" t="n"/>
      <c r="F6" s="8" t="n"/>
      <c r="G6" s="8" t="n"/>
      <c r="H6" s="8" t="n"/>
      <c r="I6" s="7" t="inlineStr">
        <is>
          <t>Cubic Metre</t>
        </is>
      </c>
    </row>
    <row r="7"/>
    <row r="8" ht="20" customHeight="1">
      <c r="A8" s="8" t="n"/>
      <c r="B8" s="3" t="inlineStr">
        <is>
          <t>Description of Measurement</t>
        </is>
      </c>
      <c r="C8" s="8" t="n"/>
      <c r="D8" s="3" t="inlineStr">
        <is>
          <t>No.</t>
        </is>
      </c>
      <c r="E8" s="3" t="inlineStr">
        <is>
          <t>Length</t>
        </is>
      </c>
      <c r="F8" s="3" t="inlineStr">
        <is>
          <t>Width</t>
        </is>
      </c>
      <c r="G8" s="3" t="inlineStr">
        <is>
          <t>Height</t>
        </is>
      </c>
      <c r="H8" s="3" t="inlineStr">
        <is>
          <t>Quantity</t>
        </is>
      </c>
      <c r="I8" s="3" t="inlineStr">
        <is>
          <t>Unit</t>
        </is>
      </c>
    </row>
    <row r="9">
      <c r="A9" s="9" t="n"/>
      <c r="B9" s="5" t="inlineStr">
        <is>
          <t>Footing base excavation: F1</t>
        </is>
      </c>
      <c r="C9" s="9" t="n"/>
      <c r="D9" s="10" t="n">
        <v>9</v>
      </c>
      <c r="E9" s="10" t="n">
        <v>1.2</v>
      </c>
      <c r="F9" s="10" t="n">
        <v>1.2</v>
      </c>
      <c r="G9" s="10" t="n">
        <v>1.5</v>
      </c>
      <c r="H9" s="6">
        <f>D9*E9*F9*G9</f>
        <v/>
      </c>
      <c r="I9" s="5" t="inlineStr">
        <is>
          <t>Cu.M.</t>
        </is>
      </c>
    </row>
    <row r="10">
      <c r="A10" s="11" t="n"/>
      <c r="B10" s="12" t="inlineStr">
        <is>
          <t>Net Quantity</t>
        </is>
      </c>
      <c r="C10" s="11" t="n"/>
      <c r="D10" s="11" t="n"/>
      <c r="E10" s="11" t="n"/>
      <c r="F10" s="11" t="n"/>
      <c r="G10" s="11" t="n"/>
      <c r="H10" s="13">
        <f>ROUND(SUM(H9:H9), 2)</f>
        <v/>
      </c>
      <c r="I10" s="12" t="inlineStr">
        <is>
          <t>Cu.M.</t>
        </is>
      </c>
    </row>
    <row r="11"/>
    <row r="12" ht="24" customHeight="1">
      <c r="A12" s="3" t="inlineStr">
        <is>
          <t>2.0</t>
        </is>
      </c>
      <c r="B12" s="7" t="inlineStr">
        <is>
          <t>Plain Cement Concrete (PCC)</t>
        </is>
      </c>
      <c r="C12" s="5" t="inlineStr">
        <is>
          <t>Detailed Quantity Takeoff for Plain Cement Concrete (PCC)</t>
        </is>
      </c>
      <c r="D12" s="8" t="n"/>
      <c r="E12" s="8" t="n"/>
      <c r="F12" s="8" t="n"/>
      <c r="G12" s="8" t="n"/>
      <c r="H12" s="8" t="n"/>
      <c r="I12" s="7" t="inlineStr">
        <is>
          <t>Cubic Metre</t>
        </is>
      </c>
    </row>
    <row r="13"/>
    <row r="14" ht="20" customHeight="1">
      <c r="A14" s="8" t="n"/>
      <c r="B14" s="3" t="inlineStr">
        <is>
          <t>Description of Measurement</t>
        </is>
      </c>
      <c r="C14" s="8" t="n"/>
      <c r="D14" s="3" t="inlineStr">
        <is>
          <t>No.</t>
        </is>
      </c>
      <c r="E14" s="3" t="inlineStr">
        <is>
          <t>Length</t>
        </is>
      </c>
      <c r="F14" s="3" t="inlineStr">
        <is>
          <t>Width</t>
        </is>
      </c>
      <c r="G14" s="3" t="inlineStr">
        <is>
          <t>Height</t>
        </is>
      </c>
      <c r="H14" s="3" t="inlineStr">
        <is>
          <t>Quantity</t>
        </is>
      </c>
      <c r="I14" s="3" t="inlineStr">
        <is>
          <t>Unit</t>
        </is>
      </c>
    </row>
    <row r="15">
      <c r="A15" s="9" t="n"/>
      <c r="B15" s="5" t="inlineStr">
        <is>
          <t>PCC under footing: F1</t>
        </is>
      </c>
      <c r="C15" s="9" t="n"/>
      <c r="D15" s="10" t="n">
        <v>9</v>
      </c>
      <c r="E15" s="10" t="n">
        <v>1.2</v>
      </c>
      <c r="F15" s="10" t="n">
        <v>1.2</v>
      </c>
      <c r="G15" s="10" t="n">
        <v>0.1</v>
      </c>
      <c r="H15" s="6">
        <f>D15*E15*F15*G15</f>
        <v/>
      </c>
      <c r="I15" s="5" t="inlineStr">
        <is>
          <t>Cu.M.</t>
        </is>
      </c>
    </row>
    <row r="16">
      <c r="A16" s="11" t="n"/>
      <c r="B16" s="12" t="inlineStr">
        <is>
          <t>Net Quantity</t>
        </is>
      </c>
      <c r="C16" s="11" t="n"/>
      <c r="D16" s="11" t="n"/>
      <c r="E16" s="11" t="n"/>
      <c r="F16" s="11" t="n"/>
      <c r="G16" s="11" t="n"/>
      <c r="H16" s="13">
        <f>ROUND(SUM(H15:H15), 2)</f>
        <v/>
      </c>
      <c r="I16" s="12" t="inlineStr">
        <is>
          <t>Cu.M.</t>
        </is>
      </c>
    </row>
    <row r="17"/>
    <row r="18" ht="24" customHeight="1">
      <c r="A18" s="3" t="inlineStr">
        <is>
          <t>3.0</t>
        </is>
      </c>
      <c r="B18" s="7" t="inlineStr">
        <is>
          <t>Reinforced Cement Concrete (RCC)</t>
        </is>
      </c>
      <c r="C18" s="5" t="inlineStr">
        <is>
          <t>Detailed Quantity Takeoff for Reinforced Cement Concrete (RCC)</t>
        </is>
      </c>
      <c r="D18" s="8" t="n"/>
      <c r="E18" s="8" t="n"/>
      <c r="F18" s="8" t="n"/>
      <c r="G18" s="8" t="n"/>
      <c r="H18" s="8" t="n"/>
      <c r="I18" s="7" t="inlineStr">
        <is>
          <t>Cubic Metre</t>
        </is>
      </c>
    </row>
    <row r="19"/>
    <row r="20" ht="20" customHeight="1">
      <c r="A20" s="8" t="n"/>
      <c r="B20" s="3" t="inlineStr">
        <is>
          <t>Description of Measurement</t>
        </is>
      </c>
      <c r="C20" s="8" t="n"/>
      <c r="D20" s="3" t="inlineStr">
        <is>
          <t>No.</t>
        </is>
      </c>
      <c r="E20" s="3" t="inlineStr">
        <is>
          <t>Length</t>
        </is>
      </c>
      <c r="F20" s="3" t="inlineStr">
        <is>
          <t>Width</t>
        </is>
      </c>
      <c r="G20" s="3" t="inlineStr">
        <is>
          <t>Height</t>
        </is>
      </c>
      <c r="H20" s="3" t="inlineStr">
        <is>
          <t>Quantity</t>
        </is>
      </c>
      <c r="I20" s="3" t="inlineStr">
        <is>
          <t>Unit</t>
        </is>
      </c>
    </row>
    <row r="21">
      <c r="A21" s="9" t="n"/>
      <c r="B21" s="5" t="inlineStr">
        <is>
          <t>RCC Footing: F1</t>
        </is>
      </c>
      <c r="C21" s="9" t="n"/>
      <c r="D21" s="10" t="n">
        <v>9</v>
      </c>
      <c r="E21" s="10" t="n">
        <v>1.2</v>
      </c>
      <c r="F21" s="10" t="n">
        <v>1.2</v>
      </c>
      <c r="G21" s="10" t="n">
        <v>0.4</v>
      </c>
      <c r="H21" s="6">
        <f>D21*E21*F21*G21</f>
        <v/>
      </c>
      <c r="I21" s="5" t="inlineStr">
        <is>
          <t>Cu.M.</t>
        </is>
      </c>
    </row>
    <row r="22">
      <c r="A22" s="9" t="n"/>
      <c r="B22" s="5" t="inlineStr">
        <is>
          <t>Columns RCC C1 (Rectangle)</t>
        </is>
      </c>
      <c r="C22" s="9" t="n"/>
      <c r="D22" s="10" t="n">
        <v>9</v>
      </c>
      <c r="E22" s="10" t="n">
        <v>0.23</v>
      </c>
      <c r="F22" s="10" t="n">
        <v>0.23</v>
      </c>
      <c r="G22" s="10" t="n">
        <v>10.5</v>
      </c>
      <c r="H22" s="6">
        <f>D22*E22*F22*G22</f>
        <v/>
      </c>
      <c r="I22" s="5" t="inlineStr">
        <is>
          <t>Cu.M.</t>
        </is>
      </c>
    </row>
    <row r="23">
      <c r="A23" s="9" t="n"/>
      <c r="B23" s="5" t="inlineStr">
        <is>
          <t>Beams RCC: B1</t>
        </is>
      </c>
      <c r="C23" s="9" t="n"/>
      <c r="D23" s="10" t="n">
        <v>9</v>
      </c>
      <c r="E23" s="10" t="n">
        <v>4.5</v>
      </c>
      <c r="F23" s="10" t="n">
        <v>0.23</v>
      </c>
      <c r="G23" s="10" t="n">
        <v>0.45</v>
      </c>
      <c r="H23" s="6">
        <f>D23*E23*F23*G23</f>
        <v/>
      </c>
      <c r="I23" s="5" t="inlineStr">
        <is>
          <t>Cu.M.</t>
        </is>
      </c>
    </row>
    <row r="24">
      <c r="A24" s="9" t="n"/>
      <c r="B24" s="5" t="inlineStr">
        <is>
          <t>Ground Floor - Slabs RCC</t>
        </is>
      </c>
      <c r="C24" s="9" t="n"/>
      <c r="D24" s="10" t="n">
        <v>1</v>
      </c>
      <c r="E24" s="10" t="n">
        <v>20.96785</v>
      </c>
      <c r="F24" s="10" t="n">
        <v>1</v>
      </c>
      <c r="G24" s="10" t="n">
        <v>0.12</v>
      </c>
      <c r="H24" s="6">
        <f>D24*E24*F24*G24</f>
        <v/>
      </c>
      <c r="I24" s="5" t="inlineStr">
        <is>
          <t>Cu.M.</t>
        </is>
      </c>
    </row>
    <row r="25">
      <c r="A25" s="9" t="n"/>
      <c r="B25" s="5" t="inlineStr">
        <is>
          <t>Ground Floor - Staircase Waist Slab RCC</t>
        </is>
      </c>
      <c r="C25" s="9" t="n"/>
      <c r="D25" s="10" t="n">
        <v>1</v>
      </c>
      <c r="E25" s="10" t="n">
        <v>5.25</v>
      </c>
      <c r="F25" s="10" t="n">
        <v>1</v>
      </c>
      <c r="G25" s="10" t="n">
        <v>0.12</v>
      </c>
      <c r="H25" s="6">
        <f>D25*E25*F25*G25</f>
        <v/>
      </c>
      <c r="I25" s="5" t="inlineStr">
        <is>
          <t>Cu.M.</t>
        </is>
      </c>
    </row>
    <row r="26">
      <c r="A26" s="9" t="n"/>
      <c r="B26" s="5" t="inlineStr">
        <is>
          <t>Ground Floor - Staircase Steps Concrete</t>
        </is>
      </c>
      <c r="C26" s="9" t="n"/>
      <c r="D26" s="10" t="n">
        <v>9</v>
      </c>
      <c r="E26" s="10" t="n">
        <v>0.25</v>
      </c>
      <c r="F26" s="10" t="n">
        <v>1</v>
      </c>
      <c r="G26" s="10" t="n">
        <v>0.15</v>
      </c>
      <c r="H26" s="6">
        <f>D26*E26*F26*G26</f>
        <v/>
      </c>
      <c r="I26" s="5" t="inlineStr">
        <is>
          <t>Cu.M.</t>
        </is>
      </c>
    </row>
    <row r="27">
      <c r="A27" s="9" t="n"/>
      <c r="B27" s="5" t="inlineStr">
        <is>
          <t>Ground Floor - Staircase Midlanding RCC</t>
        </is>
      </c>
      <c r="C27" s="9" t="n"/>
      <c r="D27" s="10" t="n">
        <v>1</v>
      </c>
      <c r="E27" s="10" t="n">
        <v>2.1</v>
      </c>
      <c r="F27" s="10" t="n">
        <v>1.05</v>
      </c>
      <c r="G27" s="10" t="n">
        <v>0.12</v>
      </c>
      <c r="H27" s="6">
        <f>D27*E27*F27*G27</f>
        <v/>
      </c>
      <c r="I27" s="5" t="inlineStr">
        <is>
          <t>Cu.M.</t>
        </is>
      </c>
    </row>
    <row r="28">
      <c r="A28" s="9" t="n"/>
      <c r="B28" s="5" t="inlineStr">
        <is>
          <t>First Floor - Slabs RCC</t>
        </is>
      </c>
      <c r="C28" s="9" t="n"/>
      <c r="D28" s="10" t="n">
        <v>1</v>
      </c>
      <c r="E28" s="10" t="n">
        <v>69.571625</v>
      </c>
      <c r="F28" s="10" t="n">
        <v>1</v>
      </c>
      <c r="G28" s="10" t="n">
        <v>0.12</v>
      </c>
      <c r="H28" s="6">
        <f>D28*E28*F28*G28</f>
        <v/>
      </c>
      <c r="I28" s="5" t="inlineStr">
        <is>
          <t>Cu.M.</t>
        </is>
      </c>
    </row>
    <row r="29">
      <c r="A29" s="9" t="n"/>
      <c r="B29" s="5" t="inlineStr">
        <is>
          <t>First Floor - Staircase Waist Slab RCC</t>
        </is>
      </c>
      <c r="C29" s="9" t="n"/>
      <c r="D29" s="10" t="n">
        <v>1</v>
      </c>
      <c r="E29" s="10" t="n">
        <v>5.25</v>
      </c>
      <c r="F29" s="10" t="n">
        <v>1</v>
      </c>
      <c r="G29" s="10" t="n">
        <v>0.12</v>
      </c>
      <c r="H29" s="6">
        <f>D29*E29*F29*G29</f>
        <v/>
      </c>
      <c r="I29" s="5" t="inlineStr">
        <is>
          <t>Cu.M.</t>
        </is>
      </c>
    </row>
    <row r="30">
      <c r="A30" s="9" t="n"/>
      <c r="B30" s="5" t="inlineStr">
        <is>
          <t>First Floor - Staircase Steps Concrete</t>
        </is>
      </c>
      <c r="C30" s="9" t="n"/>
      <c r="D30" s="10" t="n">
        <v>9</v>
      </c>
      <c r="E30" s="10" t="n">
        <v>0.25</v>
      </c>
      <c r="F30" s="10" t="n">
        <v>1</v>
      </c>
      <c r="G30" s="10" t="n">
        <v>0.15</v>
      </c>
      <c r="H30" s="6">
        <f>D30*E30*F30*G30</f>
        <v/>
      </c>
      <c r="I30" s="5" t="inlineStr">
        <is>
          <t>Cu.M.</t>
        </is>
      </c>
    </row>
    <row r="31">
      <c r="A31" s="9" t="n"/>
      <c r="B31" s="5" t="inlineStr">
        <is>
          <t>First Floor - Staircase Midlanding RCC</t>
        </is>
      </c>
      <c r="C31" s="9" t="n"/>
      <c r="D31" s="10" t="n">
        <v>1</v>
      </c>
      <c r="E31" s="10" t="n">
        <v>2.1</v>
      </c>
      <c r="F31" s="10" t="n">
        <v>1.05</v>
      </c>
      <c r="G31" s="10" t="n">
        <v>0.12</v>
      </c>
      <c r="H31" s="6">
        <f>D31*E31*F31*G31</f>
        <v/>
      </c>
      <c r="I31" s="5" t="inlineStr">
        <is>
          <t>Cu.M.</t>
        </is>
      </c>
    </row>
    <row r="32">
      <c r="A32" s="9" t="n"/>
      <c r="B32" s="5" t="inlineStr">
        <is>
          <t>Second Floor - Slabs RCC</t>
        </is>
      </c>
      <c r="C32" s="9" t="n"/>
      <c r="D32" s="10" t="n">
        <v>1</v>
      </c>
      <c r="E32" s="10" t="n">
        <v>67.6283</v>
      </c>
      <c r="F32" s="10" t="n">
        <v>1</v>
      </c>
      <c r="G32" s="10" t="n">
        <v>0.12</v>
      </c>
      <c r="H32" s="6">
        <f>D32*E32*F32*G32</f>
        <v/>
      </c>
      <c r="I32" s="5" t="inlineStr">
        <is>
          <t>Cu.M.</t>
        </is>
      </c>
    </row>
    <row r="33">
      <c r="A33" s="9" t="n"/>
      <c r="B33" s="5" t="inlineStr">
        <is>
          <t>Second Floor - Staircase Waist Slab RCC</t>
        </is>
      </c>
      <c r="C33" s="9" t="n"/>
      <c r="D33" s="10" t="n">
        <v>1</v>
      </c>
      <c r="E33" s="10" t="n">
        <v>5.25</v>
      </c>
      <c r="F33" s="10" t="n">
        <v>1</v>
      </c>
      <c r="G33" s="10" t="n">
        <v>0.12</v>
      </c>
      <c r="H33" s="6">
        <f>D33*E33*F33*G33</f>
        <v/>
      </c>
      <c r="I33" s="5" t="inlineStr">
        <is>
          <t>Cu.M.</t>
        </is>
      </c>
    </row>
    <row r="34">
      <c r="A34" s="9" t="n"/>
      <c r="B34" s="5" t="inlineStr">
        <is>
          <t>Second Floor - Staircase Steps Concrete</t>
        </is>
      </c>
      <c r="C34" s="9" t="n"/>
      <c r="D34" s="10" t="n">
        <v>9</v>
      </c>
      <c r="E34" s="10" t="n">
        <v>0.25</v>
      </c>
      <c r="F34" s="10" t="n">
        <v>1</v>
      </c>
      <c r="G34" s="10" t="n">
        <v>0.15</v>
      </c>
      <c r="H34" s="6">
        <f>D34*E34*F34*G34</f>
        <v/>
      </c>
      <c r="I34" s="5" t="inlineStr">
        <is>
          <t>Cu.M.</t>
        </is>
      </c>
    </row>
    <row r="35">
      <c r="A35" s="9" t="n"/>
      <c r="B35" s="5" t="inlineStr">
        <is>
          <t>Second Floor - Staircase Midlanding RCC</t>
        </is>
      </c>
      <c r="C35" s="9" t="n"/>
      <c r="D35" s="10" t="n">
        <v>1</v>
      </c>
      <c r="E35" s="10" t="n">
        <v>2.1</v>
      </c>
      <c r="F35" s="10" t="n">
        <v>1.05</v>
      </c>
      <c r="G35" s="10" t="n">
        <v>0.12</v>
      </c>
      <c r="H35" s="6">
        <f>D35*E35*F35*G35</f>
        <v/>
      </c>
      <c r="I35" s="5" t="inlineStr">
        <is>
          <t>Cu.M.</t>
        </is>
      </c>
    </row>
    <row r="36">
      <c r="A36" s="9" t="n"/>
      <c r="B36" s="5" t="inlineStr">
        <is>
          <t>Terrace Floor - Slabs RCC</t>
        </is>
      </c>
      <c r="C36" s="9" t="n"/>
      <c r="D36" s="10" t="n">
        <v>1</v>
      </c>
      <c r="E36" s="10" t="n">
        <v>82.40220000000001</v>
      </c>
      <c r="F36" s="10" t="n">
        <v>1</v>
      </c>
      <c r="G36" s="10" t="n">
        <v>0.12</v>
      </c>
      <c r="H36" s="6">
        <f>D36*E36*F36*G36</f>
        <v/>
      </c>
      <c r="I36" s="5" t="inlineStr">
        <is>
          <t>Cu.M.</t>
        </is>
      </c>
    </row>
    <row r="37">
      <c r="A37" s="9" t="n"/>
      <c r="B37" s="5" t="inlineStr">
        <is>
          <t>Terrace Floor - Staircase Waist Slab RCC</t>
        </is>
      </c>
      <c r="C37" s="9" t="n"/>
      <c r="D37" s="10" t="n">
        <v>1</v>
      </c>
      <c r="E37" s="10" t="n">
        <v>5.25</v>
      </c>
      <c r="F37" s="10" t="n">
        <v>1</v>
      </c>
      <c r="G37" s="10" t="n">
        <v>0.12</v>
      </c>
      <c r="H37" s="6">
        <f>D37*E37*F37*G37</f>
        <v/>
      </c>
      <c r="I37" s="5" t="inlineStr">
        <is>
          <t>Cu.M.</t>
        </is>
      </c>
    </row>
    <row r="38">
      <c r="A38" s="9" t="n"/>
      <c r="B38" s="5" t="inlineStr">
        <is>
          <t>Terrace Floor - Staircase Steps Concrete</t>
        </is>
      </c>
      <c r="C38" s="9" t="n"/>
      <c r="D38" s="10" t="n">
        <v>9</v>
      </c>
      <c r="E38" s="10" t="n">
        <v>0.25</v>
      </c>
      <c r="F38" s="10" t="n">
        <v>1</v>
      </c>
      <c r="G38" s="10" t="n">
        <v>0.15</v>
      </c>
      <c r="H38" s="6">
        <f>D38*E38*F38*G38</f>
        <v/>
      </c>
      <c r="I38" s="5" t="inlineStr">
        <is>
          <t>Cu.M.</t>
        </is>
      </c>
    </row>
    <row r="39">
      <c r="A39" s="9" t="n"/>
      <c r="B39" s="5" t="inlineStr">
        <is>
          <t>Terrace Floor - Staircase Midlanding RCC</t>
        </is>
      </c>
      <c r="C39" s="9" t="n"/>
      <c r="D39" s="10" t="n">
        <v>1</v>
      </c>
      <c r="E39" s="10" t="n">
        <v>2.1</v>
      </c>
      <c r="F39" s="10" t="n">
        <v>1.05</v>
      </c>
      <c r="G39" s="10" t="n">
        <v>0.12</v>
      </c>
      <c r="H39" s="6">
        <f>D39*E39*F39*G39</f>
        <v/>
      </c>
      <c r="I39" s="5" t="inlineStr">
        <is>
          <t>Cu.M.</t>
        </is>
      </c>
    </row>
    <row r="40">
      <c r="A40" s="11" t="n"/>
      <c r="B40" s="12" t="inlineStr">
        <is>
          <t>Net Quantity</t>
        </is>
      </c>
      <c r="C40" s="11" t="n"/>
      <c r="D40" s="11" t="n"/>
      <c r="E40" s="11" t="n"/>
      <c r="F40" s="11" t="n"/>
      <c r="G40" s="11" t="n"/>
      <c r="H40" s="13">
        <f>ROUND(SUM(H21:H39), 2)</f>
        <v/>
      </c>
      <c r="I40" s="12" t="inlineStr">
        <is>
          <t>Cu.M.</t>
        </is>
      </c>
    </row>
    <row r="41"/>
    <row r="42" ht="24" customHeight="1">
      <c r="A42" s="3" t="inlineStr">
        <is>
          <t>4.0</t>
        </is>
      </c>
      <c r="B42" s="7" t="inlineStr">
        <is>
          <t>Brickwork &amp; Partition Masonry</t>
        </is>
      </c>
      <c r="C42" s="5" t="inlineStr">
        <is>
          <t>Detailed Quantity Takeoff for Brickwork &amp; Partition Masonry</t>
        </is>
      </c>
      <c r="D42" s="8" t="n"/>
      <c r="E42" s="8" t="n"/>
      <c r="F42" s="8" t="n"/>
      <c r="G42" s="8" t="n"/>
      <c r="H42" s="8" t="n"/>
      <c r="I42" s="7" t="inlineStr">
        <is>
          <t>Cubic Metre</t>
        </is>
      </c>
    </row>
    <row r="43"/>
    <row r="44" ht="20" customHeight="1">
      <c r="A44" s="8" t="n"/>
      <c r="B44" s="3" t="inlineStr">
        <is>
          <t>Description of Measurement</t>
        </is>
      </c>
      <c r="C44" s="8" t="n"/>
      <c r="D44" s="3" t="inlineStr">
        <is>
          <t>No.</t>
        </is>
      </c>
      <c r="E44" s="3" t="inlineStr">
        <is>
          <t>Length</t>
        </is>
      </c>
      <c r="F44" s="3" t="inlineStr">
        <is>
          <t>Width</t>
        </is>
      </c>
      <c r="G44" s="3" t="inlineStr">
        <is>
          <t>Height</t>
        </is>
      </c>
      <c r="H44" s="3" t="inlineStr">
        <is>
          <t>Quantity</t>
        </is>
      </c>
      <c r="I44" s="3" t="inlineStr">
        <is>
          <t>Unit</t>
        </is>
      </c>
    </row>
    <row r="45">
      <c r="A45" s="9" t="n"/>
      <c r="B45" s="5" t="inlineStr">
        <is>
          <t>Ground Floor - Outer walls brickwork</t>
        </is>
      </c>
      <c r="C45" s="9" t="n"/>
      <c r="D45" s="10" t="n">
        <v>1</v>
      </c>
      <c r="E45" s="10" t="n">
        <v>18.47</v>
      </c>
      <c r="F45" s="10" t="n">
        <v>0.23</v>
      </c>
      <c r="G45" s="10" t="n">
        <v>2.88</v>
      </c>
      <c r="H45" s="6">
        <f>D45*E45*F45*G45</f>
        <v/>
      </c>
      <c r="I45" s="5" t="inlineStr">
        <is>
          <t>Cu.M.</t>
        </is>
      </c>
    </row>
    <row r="46">
      <c r="A46" s="9" t="n"/>
      <c r="B46" s="5" t="inlineStr">
        <is>
          <t>Ground Floor - Inner partition brickwork</t>
        </is>
      </c>
      <c r="C46" s="9" t="n"/>
      <c r="D46" s="10" t="n">
        <v>1</v>
      </c>
      <c r="E46" s="10" t="n">
        <v>6.21</v>
      </c>
      <c r="F46" s="10" t="n">
        <v>0.115</v>
      </c>
      <c r="G46" s="10" t="n">
        <v>2.88</v>
      </c>
      <c r="H46" s="6">
        <f>D46*E46*F46*G46</f>
        <v/>
      </c>
      <c r="I46" s="5" t="inlineStr">
        <is>
          <t>Cu.M.</t>
        </is>
      </c>
    </row>
    <row r="47">
      <c r="A47" s="9" t="n"/>
      <c r="B47" s="5" t="inlineStr">
        <is>
          <t>Deduction - Ground Floor - Office Door</t>
        </is>
      </c>
      <c r="C47" s="9" t="n"/>
      <c r="D47" s="10" t="n">
        <v>-1</v>
      </c>
      <c r="E47" s="10" t="n">
        <v>0.9</v>
      </c>
      <c r="F47" s="10" t="n">
        <v>0.23</v>
      </c>
      <c r="G47" s="10" t="n">
        <v>2.1</v>
      </c>
      <c r="H47" s="6">
        <f>D47*E47*F47*G47</f>
        <v/>
      </c>
      <c r="I47" s="5" t="inlineStr">
        <is>
          <t>Cu.M.</t>
        </is>
      </c>
    </row>
    <row r="48">
      <c r="A48" s="9" t="n"/>
      <c r="B48" s="5" t="inlineStr">
        <is>
          <t>Deduction - Ground Floor - Office Window</t>
        </is>
      </c>
      <c r="C48" s="9" t="n"/>
      <c r="D48" s="10" t="n">
        <v>-1</v>
      </c>
      <c r="E48" s="10" t="n">
        <v>1.5</v>
      </c>
      <c r="F48" s="10" t="n">
        <v>0.23</v>
      </c>
      <c r="G48" s="10" t="n">
        <v>1.5</v>
      </c>
      <c r="H48" s="6">
        <f>D48*E48*F48*G48</f>
        <v/>
      </c>
      <c r="I48" s="5" t="inlineStr">
        <is>
          <t>Cu.M.</t>
        </is>
      </c>
    </row>
    <row r="49">
      <c r="A49" s="9" t="n"/>
      <c r="B49" s="5" t="inlineStr">
        <is>
          <t>Deduction - Ground Floor - Toilet Door</t>
        </is>
      </c>
      <c r="C49" s="9" t="n"/>
      <c r="D49" s="10" t="n">
        <v>-1</v>
      </c>
      <c r="E49" s="10" t="n">
        <v>0.75</v>
      </c>
      <c r="F49" s="10" t="n">
        <v>0.115</v>
      </c>
      <c r="G49" s="10" t="n">
        <v>2.1</v>
      </c>
      <c r="H49" s="6">
        <f>D49*E49*F49*G49</f>
        <v/>
      </c>
      <c r="I49" s="5" t="inlineStr">
        <is>
          <t>Cu.M.</t>
        </is>
      </c>
    </row>
    <row r="50">
      <c r="A50" s="9" t="n"/>
      <c r="B50" s="5" t="inlineStr">
        <is>
          <t>Deduction - Ground Floor - Toilet Window</t>
        </is>
      </c>
      <c r="C50" s="9" t="n"/>
      <c r="D50" s="10" t="n">
        <v>-1</v>
      </c>
      <c r="E50" s="10" t="n">
        <v>0.6</v>
      </c>
      <c r="F50" s="10" t="n">
        <v>0.115</v>
      </c>
      <c r="G50" s="10" t="n">
        <v>0.6</v>
      </c>
      <c r="H50" s="6">
        <f>D50*E50*F50*G50</f>
        <v/>
      </c>
      <c r="I50" s="5" t="inlineStr">
        <is>
          <t>Cu.M.</t>
        </is>
      </c>
    </row>
    <row r="51">
      <c r="A51" s="9" t="n"/>
      <c r="B51" s="5" t="inlineStr">
        <is>
          <t>Deduction - Ground Floor - Store Door</t>
        </is>
      </c>
      <c r="C51" s="9" t="n"/>
      <c r="D51" s="10" t="n">
        <v>-1</v>
      </c>
      <c r="E51" s="10" t="n">
        <v>0.9</v>
      </c>
      <c r="F51" s="10" t="n">
        <v>0.23</v>
      </c>
      <c r="G51" s="10" t="n">
        <v>2.1</v>
      </c>
      <c r="H51" s="6">
        <f>D51*E51*F51*G51</f>
        <v/>
      </c>
      <c r="I51" s="5" t="inlineStr">
        <is>
          <t>Cu.M.</t>
        </is>
      </c>
    </row>
    <row r="52">
      <c r="A52" s="9" t="n"/>
      <c r="B52" s="5" t="inlineStr">
        <is>
          <t>First Floor - Outer walls brickwork</t>
        </is>
      </c>
      <c r="C52" s="9" t="n"/>
      <c r="D52" s="10" t="n">
        <v>1</v>
      </c>
      <c r="E52" s="10" t="n">
        <v>33.65</v>
      </c>
      <c r="F52" s="10" t="n">
        <v>0.23</v>
      </c>
      <c r="G52" s="10" t="n">
        <v>2.88</v>
      </c>
      <c r="H52" s="6">
        <f>D52*E52*F52*G52</f>
        <v/>
      </c>
      <c r="I52" s="5" t="inlineStr">
        <is>
          <t>Cu.M.</t>
        </is>
      </c>
    </row>
    <row r="53">
      <c r="A53" s="9" t="n"/>
      <c r="B53" s="5" t="inlineStr">
        <is>
          <t>First Floor - Inner partition brickwork</t>
        </is>
      </c>
      <c r="C53" s="9" t="n"/>
      <c r="D53" s="10" t="n">
        <v>1</v>
      </c>
      <c r="E53" s="10" t="n">
        <v>22.9</v>
      </c>
      <c r="F53" s="10" t="n">
        <v>0.115</v>
      </c>
      <c r="G53" s="10" t="n">
        <v>2.88</v>
      </c>
      <c r="H53" s="6">
        <f>D53*E53*F53*G53</f>
        <v/>
      </c>
      <c r="I53" s="5" t="inlineStr">
        <is>
          <t>Cu.M.</t>
        </is>
      </c>
    </row>
    <row r="54">
      <c r="A54" s="9" t="n"/>
      <c r="B54" s="5" t="inlineStr">
        <is>
          <t>Deduction - First Floor - Bedroom Door</t>
        </is>
      </c>
      <c r="C54" s="9" t="n"/>
      <c r="D54" s="10" t="n">
        <v>-1</v>
      </c>
      <c r="E54" s="10" t="n">
        <v>0.9</v>
      </c>
      <c r="F54" s="10" t="n">
        <v>0.23</v>
      </c>
      <c r="G54" s="10" t="n">
        <v>2.1</v>
      </c>
      <c r="H54" s="6">
        <f>D54*E54*F54*G54</f>
        <v/>
      </c>
      <c r="I54" s="5" t="inlineStr">
        <is>
          <t>Cu.M.</t>
        </is>
      </c>
    </row>
    <row r="55">
      <c r="A55" s="9" t="n"/>
      <c r="B55" s="5" t="inlineStr">
        <is>
          <t>Deduction - First Floor - Bedroom Window</t>
        </is>
      </c>
      <c r="C55" s="9" t="n"/>
      <c r="D55" s="10" t="n">
        <v>-1</v>
      </c>
      <c r="E55" s="10" t="n">
        <v>1.5</v>
      </c>
      <c r="F55" s="10" t="n">
        <v>0.23</v>
      </c>
      <c r="G55" s="10" t="n">
        <v>1.5</v>
      </c>
      <c r="H55" s="6">
        <f>D55*E55*F55*G55</f>
        <v/>
      </c>
      <c r="I55" s="5" t="inlineStr">
        <is>
          <t>Cu.M.</t>
        </is>
      </c>
    </row>
    <row r="56">
      <c r="A56" s="9" t="n"/>
      <c r="B56" s="5" t="inlineStr">
        <is>
          <t>Deduction - First Floor - Kitchen Door</t>
        </is>
      </c>
      <c r="C56" s="9" t="n"/>
      <c r="D56" s="10" t="n">
        <v>-1</v>
      </c>
      <c r="E56" s="10" t="n">
        <v>0.9</v>
      </c>
      <c r="F56" s="10" t="n">
        <v>0.23</v>
      </c>
      <c r="G56" s="10" t="n">
        <v>2.1</v>
      </c>
      <c r="H56" s="6">
        <f>D56*E56*F56*G56</f>
        <v/>
      </c>
      <c r="I56" s="5" t="inlineStr">
        <is>
          <t>Cu.M.</t>
        </is>
      </c>
    </row>
    <row r="57">
      <c r="A57" s="9" t="n"/>
      <c r="B57" s="5" t="inlineStr">
        <is>
          <t>Deduction - First Floor - Kitchen Window</t>
        </is>
      </c>
      <c r="C57" s="9" t="n"/>
      <c r="D57" s="10" t="n">
        <v>-1</v>
      </c>
      <c r="E57" s="10" t="n">
        <v>1.2</v>
      </c>
      <c r="F57" s="10" t="n">
        <v>0.23</v>
      </c>
      <c r="G57" s="10" t="n">
        <v>1.5</v>
      </c>
      <c r="H57" s="6">
        <f>D57*E57*F57*G57</f>
        <v/>
      </c>
      <c r="I57" s="5" t="inlineStr">
        <is>
          <t>Cu.M.</t>
        </is>
      </c>
    </row>
    <row r="58">
      <c r="A58" s="9" t="n"/>
      <c r="B58" s="5" t="inlineStr">
        <is>
          <t>Deduction - First Floor - Toilet Door</t>
        </is>
      </c>
      <c r="C58" s="9" t="n"/>
      <c r="D58" s="10" t="n">
        <v>-1</v>
      </c>
      <c r="E58" s="10" t="n">
        <v>0.75</v>
      </c>
      <c r="F58" s="10" t="n">
        <v>0.115</v>
      </c>
      <c r="G58" s="10" t="n">
        <v>2.1</v>
      </c>
      <c r="H58" s="6">
        <f>D58*E58*F58*G58</f>
        <v/>
      </c>
      <c r="I58" s="5" t="inlineStr">
        <is>
          <t>Cu.M.</t>
        </is>
      </c>
    </row>
    <row r="59">
      <c r="A59" s="9" t="n"/>
      <c r="B59" s="5" t="inlineStr">
        <is>
          <t>Deduction - First Floor - Toilet Window</t>
        </is>
      </c>
      <c r="C59" s="9" t="n"/>
      <c r="D59" s="10" t="n">
        <v>-1</v>
      </c>
      <c r="E59" s="10" t="n">
        <v>0.6</v>
      </c>
      <c r="F59" s="10" t="n">
        <v>0.115</v>
      </c>
      <c r="G59" s="10" t="n">
        <v>0.6</v>
      </c>
      <c r="H59" s="6">
        <f>D59*E59*F59*G59</f>
        <v/>
      </c>
      <c r="I59" s="5" t="inlineStr">
        <is>
          <t>Cu.M.</t>
        </is>
      </c>
    </row>
    <row r="60">
      <c r="A60" s="9" t="n"/>
      <c r="B60" s="5" t="inlineStr">
        <is>
          <t>Deduction - First Floor - Drawing Cum Dining Door</t>
        </is>
      </c>
      <c r="C60" s="9" t="n"/>
      <c r="D60" s="10" t="n">
        <v>-1</v>
      </c>
      <c r="E60" s="10" t="n">
        <v>1.2</v>
      </c>
      <c r="F60" s="10" t="n">
        <v>0.23</v>
      </c>
      <c r="G60" s="10" t="n">
        <v>2.1</v>
      </c>
      <c r="H60" s="6">
        <f>D60*E60*F60*G60</f>
        <v/>
      </c>
      <c r="I60" s="5" t="inlineStr">
        <is>
          <t>Cu.M.</t>
        </is>
      </c>
    </row>
    <row r="61">
      <c r="A61" s="9" t="n"/>
      <c r="B61" s="5" t="inlineStr">
        <is>
          <t>Deduction - First Floor - Drawing Cum Dining Window</t>
        </is>
      </c>
      <c r="C61" s="9" t="n"/>
      <c r="D61" s="10" t="n">
        <v>-1</v>
      </c>
      <c r="E61" s="10" t="n">
        <v>1.5</v>
      </c>
      <c r="F61" s="10" t="n">
        <v>0.23</v>
      </c>
      <c r="G61" s="10" t="n">
        <v>1.5</v>
      </c>
      <c r="H61" s="6">
        <f>D61*E61*F61*G61</f>
        <v/>
      </c>
      <c r="I61" s="5" t="inlineStr">
        <is>
          <t>Cu.M.</t>
        </is>
      </c>
    </row>
    <row r="62">
      <c r="A62" s="9" t="n"/>
      <c r="B62" s="5" t="inlineStr">
        <is>
          <t>Deduction - First Floor - Wash Balcony Door</t>
        </is>
      </c>
      <c r="C62" s="9" t="n"/>
      <c r="D62" s="10" t="n">
        <v>-1</v>
      </c>
      <c r="E62" s="10" t="n">
        <v>0.9</v>
      </c>
      <c r="F62" s="10" t="n">
        <v>0.115</v>
      </c>
      <c r="G62" s="10" t="n">
        <v>2.1</v>
      </c>
      <c r="H62" s="6">
        <f>D62*E62*F62*G62</f>
        <v/>
      </c>
      <c r="I62" s="5" t="inlineStr">
        <is>
          <t>Cu.M.</t>
        </is>
      </c>
    </row>
    <row r="63">
      <c r="A63" s="9" t="n"/>
      <c r="B63" s="5" t="inlineStr">
        <is>
          <t>Deduction - First Floor - Front Balcony Door</t>
        </is>
      </c>
      <c r="C63" s="9" t="n"/>
      <c r="D63" s="10" t="n">
        <v>-1</v>
      </c>
      <c r="E63" s="10" t="n">
        <v>0.9</v>
      </c>
      <c r="F63" s="10" t="n">
        <v>0.115</v>
      </c>
      <c r="G63" s="10" t="n">
        <v>2.1</v>
      </c>
      <c r="H63" s="6">
        <f>D63*E63*F63*G63</f>
        <v/>
      </c>
      <c r="I63" s="5" t="inlineStr">
        <is>
          <t>Cu.M.</t>
        </is>
      </c>
    </row>
    <row r="64">
      <c r="A64" s="9" t="n"/>
      <c r="B64" s="5" t="inlineStr">
        <is>
          <t>Second Floor - Outer walls brickwork</t>
        </is>
      </c>
      <c r="C64" s="9" t="n"/>
      <c r="D64" s="10" t="n">
        <v>1</v>
      </c>
      <c r="E64" s="10" t="n">
        <v>33.18</v>
      </c>
      <c r="F64" s="10" t="n">
        <v>0.23</v>
      </c>
      <c r="G64" s="10" t="n">
        <v>2.88</v>
      </c>
      <c r="H64" s="6">
        <f>D64*E64*F64*G64</f>
        <v/>
      </c>
      <c r="I64" s="5" t="inlineStr">
        <is>
          <t>Cu.M.</t>
        </is>
      </c>
    </row>
    <row r="65">
      <c r="A65" s="9" t="n"/>
      <c r="B65" s="5" t="inlineStr">
        <is>
          <t>Second Floor - Inner partition brickwork</t>
        </is>
      </c>
      <c r="C65" s="9" t="n"/>
      <c r="D65" s="10" t="n">
        <v>1</v>
      </c>
      <c r="E65" s="10" t="n">
        <v>26.95</v>
      </c>
      <c r="F65" s="10" t="n">
        <v>0.115</v>
      </c>
      <c r="G65" s="10" t="n">
        <v>2.88</v>
      </c>
      <c r="H65" s="6">
        <f>D65*E65*F65*G65</f>
        <v/>
      </c>
      <c r="I65" s="5" t="inlineStr">
        <is>
          <t>Cu.M.</t>
        </is>
      </c>
    </row>
    <row r="66">
      <c r="A66" s="9" t="n"/>
      <c r="B66" s="5" t="inlineStr">
        <is>
          <t>Deduction - Second Floor - Bedroom Door</t>
        </is>
      </c>
      <c r="C66" s="9" t="n"/>
      <c r="D66" s="10" t="n">
        <v>-1</v>
      </c>
      <c r="E66" s="10" t="n">
        <v>0.9</v>
      </c>
      <c r="F66" s="10" t="n">
        <v>0.23</v>
      </c>
      <c r="G66" s="10" t="n">
        <v>2.1</v>
      </c>
      <c r="H66" s="6">
        <f>D66*E66*F66*G66</f>
        <v/>
      </c>
      <c r="I66" s="5" t="inlineStr">
        <is>
          <t>Cu.M.</t>
        </is>
      </c>
    </row>
    <row r="67">
      <c r="A67" s="9" t="n"/>
      <c r="B67" s="5" t="inlineStr">
        <is>
          <t>Deduction - Second Floor - Bedroom Window</t>
        </is>
      </c>
      <c r="C67" s="9" t="n"/>
      <c r="D67" s="10" t="n">
        <v>-1</v>
      </c>
      <c r="E67" s="10" t="n">
        <v>1.5</v>
      </c>
      <c r="F67" s="10" t="n">
        <v>0.23</v>
      </c>
      <c r="G67" s="10" t="n">
        <v>1.5</v>
      </c>
      <c r="H67" s="6">
        <f>D67*E67*F67*G67</f>
        <v/>
      </c>
      <c r="I67" s="5" t="inlineStr">
        <is>
          <t>Cu.M.</t>
        </is>
      </c>
    </row>
    <row r="68">
      <c r="A68" s="9" t="n"/>
      <c r="B68" s="5" t="inlineStr">
        <is>
          <t>Deduction - Second Floor - Dressing Door</t>
        </is>
      </c>
      <c r="C68" s="9" t="n"/>
      <c r="D68" s="10" t="n">
        <v>-1</v>
      </c>
      <c r="E68" s="10" t="n">
        <v>0.9</v>
      </c>
      <c r="F68" s="10" t="n">
        <v>0.23</v>
      </c>
      <c r="G68" s="10" t="n">
        <v>2.1</v>
      </c>
      <c r="H68" s="6">
        <f>D68*E68*F68*G68</f>
        <v/>
      </c>
      <c r="I68" s="5" t="inlineStr">
        <is>
          <t>Cu.M.</t>
        </is>
      </c>
    </row>
    <row r="69">
      <c r="A69" s="9" t="n"/>
      <c r="B69" s="5" t="inlineStr">
        <is>
          <t>Deduction - Second Floor - Toilet Door</t>
        </is>
      </c>
      <c r="C69" s="9" t="n"/>
      <c r="D69" s="10" t="n">
        <v>-1</v>
      </c>
      <c r="E69" s="10" t="n">
        <v>0.75</v>
      </c>
      <c r="F69" s="10" t="n">
        <v>0.115</v>
      </c>
      <c r="G69" s="10" t="n">
        <v>2.1</v>
      </c>
      <c r="H69" s="6">
        <f>D69*E69*F69*G69</f>
        <v/>
      </c>
      <c r="I69" s="5" t="inlineStr">
        <is>
          <t>Cu.M.</t>
        </is>
      </c>
    </row>
    <row r="70">
      <c r="A70" s="9" t="n"/>
      <c r="B70" s="5" t="inlineStr">
        <is>
          <t>Deduction - Second Floor - Toilet Window</t>
        </is>
      </c>
      <c r="C70" s="9" t="n"/>
      <c r="D70" s="10" t="n">
        <v>-1</v>
      </c>
      <c r="E70" s="10" t="n">
        <v>0.6</v>
      </c>
      <c r="F70" s="10" t="n">
        <v>0.115</v>
      </c>
      <c r="G70" s="10" t="n">
        <v>0.6</v>
      </c>
      <c r="H70" s="6">
        <f>D70*E70*F70*G70</f>
        <v/>
      </c>
      <c r="I70" s="5" t="inlineStr">
        <is>
          <t>Cu.M.</t>
        </is>
      </c>
    </row>
    <row r="71">
      <c r="A71" s="9" t="n"/>
      <c r="B71" s="5" t="inlineStr">
        <is>
          <t>Deduction - Second Floor - Room Door</t>
        </is>
      </c>
      <c r="C71" s="9" t="n"/>
      <c r="D71" s="10" t="n">
        <v>-1</v>
      </c>
      <c r="E71" s="10" t="n">
        <v>0.9</v>
      </c>
      <c r="F71" s="10" t="n">
        <v>0.23</v>
      </c>
      <c r="G71" s="10" t="n">
        <v>2.1</v>
      </c>
      <c r="H71" s="6">
        <f>D71*E71*F71*G71</f>
        <v/>
      </c>
      <c r="I71" s="5" t="inlineStr">
        <is>
          <t>Cu.M.</t>
        </is>
      </c>
    </row>
    <row r="72">
      <c r="A72" s="9" t="n"/>
      <c r="B72" s="5" t="inlineStr">
        <is>
          <t>Deduction - Second Floor - Room Window</t>
        </is>
      </c>
      <c r="C72" s="9" t="n"/>
      <c r="D72" s="10" t="n">
        <v>-1</v>
      </c>
      <c r="E72" s="10" t="n">
        <v>1.5</v>
      </c>
      <c r="F72" s="10" t="n">
        <v>0.23</v>
      </c>
      <c r="G72" s="10" t="n">
        <v>1.5</v>
      </c>
      <c r="H72" s="6">
        <f>D72*E72*F72*G72</f>
        <v/>
      </c>
      <c r="I72" s="5" t="inlineStr">
        <is>
          <t>Cu.M.</t>
        </is>
      </c>
    </row>
    <row r="73">
      <c r="A73" s="9" t="n"/>
      <c r="B73" s="5" t="inlineStr">
        <is>
          <t>Deduction - Second Floor - Bedroom Door</t>
        </is>
      </c>
      <c r="C73" s="9" t="n"/>
      <c r="D73" s="10" t="n">
        <v>-1</v>
      </c>
      <c r="E73" s="10" t="n">
        <v>0.9</v>
      </c>
      <c r="F73" s="10" t="n">
        <v>0.23</v>
      </c>
      <c r="G73" s="10" t="n">
        <v>2.1</v>
      </c>
      <c r="H73" s="6">
        <f>D73*E73*F73*G73</f>
        <v/>
      </c>
      <c r="I73" s="5" t="inlineStr">
        <is>
          <t>Cu.M.</t>
        </is>
      </c>
    </row>
    <row r="74">
      <c r="A74" s="9" t="n"/>
      <c r="B74" s="5" t="inlineStr">
        <is>
          <t>Deduction - Second Floor - Bedroom Window</t>
        </is>
      </c>
      <c r="C74" s="9" t="n"/>
      <c r="D74" s="10" t="n">
        <v>-1</v>
      </c>
      <c r="E74" s="10" t="n">
        <v>1.5</v>
      </c>
      <c r="F74" s="10" t="n">
        <v>0.23</v>
      </c>
      <c r="G74" s="10" t="n">
        <v>1.5</v>
      </c>
      <c r="H74" s="6">
        <f>D74*E74*F74*G74</f>
        <v/>
      </c>
      <c r="I74" s="5" t="inlineStr">
        <is>
          <t>Cu.M.</t>
        </is>
      </c>
    </row>
    <row r="75">
      <c r="A75" s="9" t="n"/>
      <c r="B75" s="5" t="inlineStr">
        <is>
          <t>Deduction - Second Floor - Toilet Door</t>
        </is>
      </c>
      <c r="C75" s="9" t="n"/>
      <c r="D75" s="10" t="n">
        <v>-1</v>
      </c>
      <c r="E75" s="10" t="n">
        <v>0.75</v>
      </c>
      <c r="F75" s="10" t="n">
        <v>0.115</v>
      </c>
      <c r="G75" s="10" t="n">
        <v>2.1</v>
      </c>
      <c r="H75" s="6">
        <f>D75*E75*F75*G75</f>
        <v/>
      </c>
      <c r="I75" s="5" t="inlineStr">
        <is>
          <t>Cu.M.</t>
        </is>
      </c>
    </row>
    <row r="76">
      <c r="A76" s="9" t="n"/>
      <c r="B76" s="5" t="inlineStr">
        <is>
          <t>Deduction - Second Floor - Toilet Window</t>
        </is>
      </c>
      <c r="C76" s="9" t="n"/>
      <c r="D76" s="10" t="n">
        <v>-1</v>
      </c>
      <c r="E76" s="10" t="n">
        <v>0.6</v>
      </c>
      <c r="F76" s="10" t="n">
        <v>0.115</v>
      </c>
      <c r="G76" s="10" t="n">
        <v>0.6</v>
      </c>
      <c r="H76" s="6">
        <f>D76*E76*F76*G76</f>
        <v/>
      </c>
      <c r="I76" s="5" t="inlineStr">
        <is>
          <t>Cu.M.</t>
        </is>
      </c>
    </row>
    <row r="77">
      <c r="A77" s="9" t="n"/>
      <c r="B77" s="5" t="inlineStr">
        <is>
          <t>Deduction - Second Floor - Balcony Door</t>
        </is>
      </c>
      <c r="C77" s="9" t="n"/>
      <c r="D77" s="10" t="n">
        <v>-1</v>
      </c>
      <c r="E77" s="10" t="n">
        <v>0.9</v>
      </c>
      <c r="F77" s="10" t="n">
        <v>0.115</v>
      </c>
      <c r="G77" s="10" t="n">
        <v>2.1</v>
      </c>
      <c r="H77" s="6">
        <f>D77*E77*F77*G77</f>
        <v/>
      </c>
      <c r="I77" s="5" t="inlineStr">
        <is>
          <t>Cu.M.</t>
        </is>
      </c>
    </row>
    <row r="78">
      <c r="A78" s="9" t="n"/>
      <c r="B78" s="5" t="inlineStr">
        <is>
          <t>Terrace Floor - Outer walls brickwork</t>
        </is>
      </c>
      <c r="C78" s="9" t="n"/>
      <c r="D78" s="10" t="n">
        <v>1</v>
      </c>
      <c r="E78" s="10" t="n">
        <v>36.62</v>
      </c>
      <c r="F78" s="10" t="n">
        <v>0.23</v>
      </c>
      <c r="G78" s="10" t="n">
        <v>2.88</v>
      </c>
      <c r="H78" s="6">
        <f>D78*E78*F78*G78</f>
        <v/>
      </c>
      <c r="I78" s="5" t="inlineStr">
        <is>
          <t>Cu.M.</t>
        </is>
      </c>
    </row>
    <row r="79">
      <c r="A79" s="9" t="n"/>
      <c r="B79" s="5" t="inlineStr">
        <is>
          <t>Terrace Floor - Inner partition brickwork</t>
        </is>
      </c>
      <c r="C79" s="9" t="n"/>
      <c r="D79" s="10" t="n">
        <v>1</v>
      </c>
      <c r="E79" s="10" t="n">
        <v>8.42</v>
      </c>
      <c r="F79" s="10" t="n">
        <v>0.115</v>
      </c>
      <c r="G79" s="10" t="n">
        <v>2.88</v>
      </c>
      <c r="H79" s="6">
        <f>D79*E79*F79*G79</f>
        <v/>
      </c>
      <c r="I79" s="5" t="inlineStr">
        <is>
          <t>Cu.M.</t>
        </is>
      </c>
    </row>
    <row r="80">
      <c r="A80" s="9" t="n"/>
      <c r="B80" s="5" t="inlineStr">
        <is>
          <t>Deduction - Terrace Floor - Store Door</t>
        </is>
      </c>
      <c r="C80" s="9" t="n"/>
      <c r="D80" s="10" t="n">
        <v>-1</v>
      </c>
      <c r="E80" s="10" t="n">
        <v>0.9</v>
      </c>
      <c r="F80" s="10" t="n">
        <v>0.23</v>
      </c>
      <c r="G80" s="10" t="n">
        <v>2.1</v>
      </c>
      <c r="H80" s="6">
        <f>D80*E80*F80*G80</f>
        <v/>
      </c>
      <c r="I80" s="5" t="inlineStr">
        <is>
          <t>Cu.M.</t>
        </is>
      </c>
    </row>
    <row r="81">
      <c r="A81" s="9" t="n"/>
      <c r="B81" s="5" t="inlineStr">
        <is>
          <t>Deduction - Terrace Floor - Store Window</t>
        </is>
      </c>
      <c r="C81" s="9" t="n"/>
      <c r="D81" s="10" t="n">
        <v>-1</v>
      </c>
      <c r="E81" s="10" t="n">
        <v>1.2</v>
      </c>
      <c r="F81" s="10" t="n">
        <v>0.23</v>
      </c>
      <c r="G81" s="10" t="n">
        <v>1.5</v>
      </c>
      <c r="H81" s="6">
        <f>D81*E81*F81*G81</f>
        <v/>
      </c>
      <c r="I81" s="5" t="inlineStr">
        <is>
          <t>Cu.M.</t>
        </is>
      </c>
    </row>
    <row r="82">
      <c r="A82" s="9" t="n"/>
      <c r="B82" s="5" t="inlineStr">
        <is>
          <t>Deduction - Terrace Floor - Toilet Door</t>
        </is>
      </c>
      <c r="C82" s="9" t="n"/>
      <c r="D82" s="10" t="n">
        <v>-1</v>
      </c>
      <c r="E82" s="10" t="n">
        <v>0.75</v>
      </c>
      <c r="F82" s="10" t="n">
        <v>0.115</v>
      </c>
      <c r="G82" s="10" t="n">
        <v>2.1</v>
      </c>
      <c r="H82" s="6">
        <f>D82*E82*F82*G82</f>
        <v/>
      </c>
      <c r="I82" s="5" t="inlineStr">
        <is>
          <t>Cu.M.</t>
        </is>
      </c>
    </row>
    <row r="83">
      <c r="A83" s="9" t="n"/>
      <c r="B83" s="5" t="inlineStr">
        <is>
          <t>Deduction - Terrace Floor - Toilet Window</t>
        </is>
      </c>
      <c r="C83" s="9" t="n"/>
      <c r="D83" s="10" t="n">
        <v>-1</v>
      </c>
      <c r="E83" s="10" t="n">
        <v>0.6</v>
      </c>
      <c r="F83" s="10" t="n">
        <v>0.115</v>
      </c>
      <c r="G83" s="10" t="n">
        <v>0.6</v>
      </c>
      <c r="H83" s="6">
        <f>D83*E83*F83*G83</f>
        <v/>
      </c>
      <c r="I83" s="5" t="inlineStr">
        <is>
          <t>Cu.M.</t>
        </is>
      </c>
    </row>
    <row r="84">
      <c r="A84" s="9" t="n"/>
      <c r="B84" s="5" t="inlineStr">
        <is>
          <t>Deduction - Terrace Floor - Terrace Door</t>
        </is>
      </c>
      <c r="C84" s="9" t="n"/>
      <c r="D84" s="10" t="n">
        <v>-1</v>
      </c>
      <c r="E84" s="10" t="n">
        <v>0.9</v>
      </c>
      <c r="F84" s="10" t="n">
        <v>0.115</v>
      </c>
      <c r="G84" s="10" t="n">
        <v>2.1</v>
      </c>
      <c r="H84" s="6">
        <f>D84*E84*F84*G84</f>
        <v/>
      </c>
      <c r="I84" s="5" t="inlineStr">
        <is>
          <t>Cu.M.</t>
        </is>
      </c>
    </row>
    <row r="85">
      <c r="A85" s="11" t="n"/>
      <c r="B85" s="12" t="inlineStr">
        <is>
          <t>Net Quantity</t>
        </is>
      </c>
      <c r="C85" s="11" t="n"/>
      <c r="D85" s="11" t="n"/>
      <c r="E85" s="11" t="n"/>
      <c r="F85" s="11" t="n"/>
      <c r="G85" s="11" t="n"/>
      <c r="H85" s="13">
        <f>ROUND(SUM(H45:H84), 2)</f>
        <v/>
      </c>
      <c r="I85" s="12" t="inlineStr">
        <is>
          <t>Cu.M.</t>
        </is>
      </c>
    </row>
    <row r="86"/>
    <row r="87" ht="24" customHeight="1">
      <c r="A87" s="3" t="inlineStr">
        <is>
          <t>5.0</t>
        </is>
      </c>
      <c r="B87" s="7" t="inlineStr">
        <is>
          <t>Plastering Works</t>
        </is>
      </c>
      <c r="C87" s="5" t="inlineStr">
        <is>
          <t>Detailed Quantity Takeoff for Plastering Works</t>
        </is>
      </c>
      <c r="D87" s="8" t="n"/>
      <c r="E87" s="8" t="n"/>
      <c r="F87" s="8" t="n"/>
      <c r="G87" s="8" t="n"/>
      <c r="H87" s="8" t="n"/>
      <c r="I87" s="7" t="inlineStr">
        <is>
          <t>Square Metre</t>
        </is>
      </c>
    </row>
    <row r="88"/>
    <row r="89" ht="20" customHeight="1">
      <c r="A89" s="8" t="n"/>
      <c r="B89" s="3" t="inlineStr">
        <is>
          <t>Description of Measurement</t>
        </is>
      </c>
      <c r="C89" s="8" t="n"/>
      <c r="D89" s="3" t="inlineStr">
        <is>
          <t>No.</t>
        </is>
      </c>
      <c r="E89" s="3" t="inlineStr">
        <is>
          <t>Length</t>
        </is>
      </c>
      <c r="F89" s="3" t="inlineStr">
        <is>
          <t>Width</t>
        </is>
      </c>
      <c r="G89" s="3" t="inlineStr">
        <is>
          <t>Height</t>
        </is>
      </c>
      <c r="H89" s="3" t="inlineStr">
        <is>
          <t>Quantity</t>
        </is>
      </c>
      <c r="I89" s="3" t="inlineStr">
        <is>
          <t>Unit</t>
        </is>
      </c>
    </row>
    <row r="90">
      <c r="A90" s="9" t="n"/>
      <c r="B90" s="5" t="inlineStr">
        <is>
          <t>Ground Floor - Office Wall Plaster</t>
        </is>
      </c>
      <c r="C90" s="9" t="n"/>
      <c r="D90" s="10" t="n">
        <v>1</v>
      </c>
      <c r="E90" s="10" t="n">
        <v>16.51</v>
      </c>
      <c r="F90" s="10" t="inlineStr"/>
      <c r="G90" s="10" t="n">
        <v>3.6</v>
      </c>
      <c r="H90" s="6">
        <f>D90*E90*G90</f>
        <v/>
      </c>
      <c r="I90" s="5" t="inlineStr">
        <is>
          <t>Sqm</t>
        </is>
      </c>
    </row>
    <row r="91">
      <c r="A91" s="9" t="n"/>
      <c r="B91" s="5" t="inlineStr">
        <is>
          <t>Deduction - Ground Floor - Office Door Plaster</t>
        </is>
      </c>
      <c r="C91" s="9" t="n"/>
      <c r="D91" s="10" t="n">
        <v>-1</v>
      </c>
      <c r="E91" s="10" t="n">
        <v>0.9</v>
      </c>
      <c r="F91" s="10" t="inlineStr"/>
      <c r="G91" s="10" t="n">
        <v>2.1</v>
      </c>
      <c r="H91" s="6">
        <f>D91*E91*G91</f>
        <v/>
      </c>
      <c r="I91" s="5" t="inlineStr">
        <is>
          <t>Sqm</t>
        </is>
      </c>
    </row>
    <row r="92">
      <c r="A92" s="9" t="n"/>
      <c r="B92" s="5" t="inlineStr">
        <is>
          <t>Deduction - Ground Floor - Office Window Plaster</t>
        </is>
      </c>
      <c r="C92" s="9" t="n"/>
      <c r="D92" s="10" t="n">
        <v>-1</v>
      </c>
      <c r="E92" s="10" t="n">
        <v>1.5</v>
      </c>
      <c r="F92" s="10" t="inlineStr"/>
      <c r="G92" s="10" t="n">
        <v>1.5</v>
      </c>
      <c r="H92" s="6">
        <f>D92*E92*G92</f>
        <v/>
      </c>
      <c r="I92" s="5" t="inlineStr">
        <is>
          <t>Sqm</t>
        </is>
      </c>
    </row>
    <row r="93">
      <c r="A93" s="9" t="n"/>
      <c r="B93" s="5" t="inlineStr">
        <is>
          <t>Ground Floor - Office Window Jam plaster</t>
        </is>
      </c>
      <c r="C93" s="9" t="n"/>
      <c r="D93" s="10" t="n">
        <v>1</v>
      </c>
      <c r="E93" s="10" t="n">
        <v>6</v>
      </c>
      <c r="F93" s="10" t="n">
        <v>0.15</v>
      </c>
      <c r="G93" s="10" t="inlineStr"/>
      <c r="H93" s="6">
        <f>D93*E93*F93</f>
        <v/>
      </c>
      <c r="I93" s="5" t="inlineStr">
        <is>
          <t>Sqm</t>
        </is>
      </c>
    </row>
    <row r="94">
      <c r="A94" s="9" t="n"/>
      <c r="B94" s="5" t="inlineStr">
        <is>
          <t>Ground Floor - Office Ceiling Plaster</t>
        </is>
      </c>
      <c r="C94" s="9" t="n"/>
      <c r="D94" s="10" t="n">
        <v>1</v>
      </c>
      <c r="E94" s="10" t="n">
        <v>2.815</v>
      </c>
      <c r="F94" s="10" t="n">
        <v>5.44</v>
      </c>
      <c r="G94" s="10" t="inlineStr"/>
      <c r="H94" s="6">
        <f>D94*E94*F94</f>
        <v/>
      </c>
      <c r="I94" s="5" t="inlineStr">
        <is>
          <t>Sqm</t>
        </is>
      </c>
    </row>
    <row r="95">
      <c r="A95" s="9" t="n"/>
      <c r="B95" s="5" t="inlineStr">
        <is>
          <t>Ground Floor - Toilet Wall Plaster</t>
        </is>
      </c>
      <c r="C95" s="9" t="n"/>
      <c r="D95" s="10" t="n">
        <v>1</v>
      </c>
      <c r="E95" s="10" t="n">
        <v>6.9</v>
      </c>
      <c r="F95" s="10" t="inlineStr"/>
      <c r="G95" s="10" t="n">
        <v>3.6</v>
      </c>
      <c r="H95" s="6">
        <f>D95*E95*G95</f>
        <v/>
      </c>
      <c r="I95" s="5" t="inlineStr">
        <is>
          <t>Sqm</t>
        </is>
      </c>
    </row>
    <row r="96">
      <c r="A96" s="9" t="n"/>
      <c r="B96" s="5" t="inlineStr">
        <is>
          <t>Deduction - Ground Floor - Toilet Door Plaster</t>
        </is>
      </c>
      <c r="C96" s="9" t="n"/>
      <c r="D96" s="10" t="n">
        <v>-1</v>
      </c>
      <c r="E96" s="10" t="n">
        <v>0.75</v>
      </c>
      <c r="F96" s="10" t="inlineStr"/>
      <c r="G96" s="10" t="n">
        <v>2.1</v>
      </c>
      <c r="H96" s="6">
        <f>D96*E96*G96</f>
        <v/>
      </c>
      <c r="I96" s="5" t="inlineStr">
        <is>
          <t>Sqm</t>
        </is>
      </c>
    </row>
    <row r="97">
      <c r="A97" s="9" t="n"/>
      <c r="B97" s="5" t="inlineStr">
        <is>
          <t>Deduction - Ground Floor - Toilet Window Plaster</t>
        </is>
      </c>
      <c r="C97" s="9" t="n"/>
      <c r="D97" s="10" t="n">
        <v>-1</v>
      </c>
      <c r="E97" s="10" t="n">
        <v>0.6</v>
      </c>
      <c r="F97" s="10" t="inlineStr"/>
      <c r="G97" s="10" t="n">
        <v>0.6</v>
      </c>
      <c r="H97" s="6">
        <f>D97*E97*G97</f>
        <v/>
      </c>
      <c r="I97" s="5" t="inlineStr">
        <is>
          <t>Sqm</t>
        </is>
      </c>
    </row>
    <row r="98">
      <c r="A98" s="9" t="n"/>
      <c r="B98" s="5" t="inlineStr">
        <is>
          <t>Ground Floor - Toilet Window Jam plaster</t>
        </is>
      </c>
      <c r="C98" s="9" t="n"/>
      <c r="D98" s="10" t="n">
        <v>1</v>
      </c>
      <c r="E98" s="10" t="n">
        <v>2.4</v>
      </c>
      <c r="F98" s="10" t="n">
        <v>0.15</v>
      </c>
      <c r="G98" s="10" t="inlineStr"/>
      <c r="H98" s="6">
        <f>D98*E98*F98</f>
        <v/>
      </c>
      <c r="I98" s="5" t="inlineStr">
        <is>
          <t>Sqm</t>
        </is>
      </c>
    </row>
    <row r="99">
      <c r="A99" s="9" t="n"/>
      <c r="B99" s="5" t="inlineStr">
        <is>
          <t>Ground Floor - Toilet Ceiling Plaster</t>
        </is>
      </c>
      <c r="C99" s="9" t="n"/>
      <c r="D99" s="10" t="n">
        <v>1</v>
      </c>
      <c r="E99" s="10" t="n">
        <v>2.1</v>
      </c>
      <c r="F99" s="10" t="n">
        <v>1.35</v>
      </c>
      <c r="G99" s="10" t="inlineStr"/>
      <c r="H99" s="6">
        <f>D99*E99*F99</f>
        <v/>
      </c>
      <c r="I99" s="5" t="inlineStr">
        <is>
          <t>Sqm</t>
        </is>
      </c>
    </row>
    <row r="100">
      <c r="A100" s="9" t="n"/>
      <c r="B100" s="5" t="inlineStr">
        <is>
          <t>Ground Floor - Store Wall Plaster</t>
        </is>
      </c>
      <c r="C100" s="9" t="n"/>
      <c r="D100" s="10" t="n">
        <v>1</v>
      </c>
      <c r="E100" s="10" t="n">
        <v>7.470000000000001</v>
      </c>
      <c r="F100" s="10" t="inlineStr"/>
      <c r="G100" s="10" t="n">
        <v>3.6</v>
      </c>
      <c r="H100" s="6">
        <f>D100*E100*G100</f>
        <v/>
      </c>
      <c r="I100" s="5" t="inlineStr">
        <is>
          <t>Sqm</t>
        </is>
      </c>
    </row>
    <row r="101">
      <c r="A101" s="9" t="n"/>
      <c r="B101" s="5" t="inlineStr">
        <is>
          <t>Deduction - Ground Floor - Store Door Plaster</t>
        </is>
      </c>
      <c r="C101" s="9" t="n"/>
      <c r="D101" s="10" t="n">
        <v>-1</v>
      </c>
      <c r="E101" s="10" t="n">
        <v>0.9</v>
      </c>
      <c r="F101" s="10" t="inlineStr"/>
      <c r="G101" s="10" t="n">
        <v>2.1</v>
      </c>
      <c r="H101" s="6">
        <f>D101*E101*G101</f>
        <v/>
      </c>
      <c r="I101" s="5" t="inlineStr">
        <is>
          <t>Sqm</t>
        </is>
      </c>
    </row>
    <row r="102">
      <c r="A102" s="9" t="n"/>
      <c r="B102" s="5" t="inlineStr">
        <is>
          <t>Ground Floor - Store Ceiling Plaster</t>
        </is>
      </c>
      <c r="C102" s="9" t="n"/>
      <c r="D102" s="10" t="n">
        <v>1</v>
      </c>
      <c r="E102" s="10" t="n">
        <v>1.05</v>
      </c>
      <c r="F102" s="10" t="n">
        <v>2.685</v>
      </c>
      <c r="G102" s="10" t="inlineStr"/>
      <c r="H102" s="6">
        <f>D102*E102*F102</f>
        <v/>
      </c>
      <c r="I102" s="5" t="inlineStr">
        <is>
          <t>Sqm</t>
        </is>
      </c>
    </row>
    <row r="103">
      <c r="A103" s="9" t="n"/>
      <c r="B103" s="5" t="inlineStr">
        <is>
          <t>Ground Floor - External plaster</t>
        </is>
      </c>
      <c r="C103" s="9" t="n"/>
      <c r="D103" s="10" t="n">
        <v>1</v>
      </c>
      <c r="E103" s="10" t="n">
        <v>18.47</v>
      </c>
      <c r="F103" s="10" t="inlineStr"/>
      <c r="G103" s="10" t="n">
        <v>3</v>
      </c>
      <c r="H103" s="6">
        <f>D103*E103*G103</f>
        <v/>
      </c>
      <c r="I103" s="5" t="inlineStr">
        <is>
          <t>Sqm</t>
        </is>
      </c>
    </row>
    <row r="104">
      <c r="A104" s="9" t="n"/>
      <c r="B104" s="5" t="inlineStr">
        <is>
          <t>First Floor - Bedroom Wall Plaster</t>
        </is>
      </c>
      <c r="C104" s="9" t="n"/>
      <c r="D104" s="10" t="n">
        <v>1</v>
      </c>
      <c r="E104" s="10" t="n">
        <v>15.51</v>
      </c>
      <c r="F104" s="10" t="inlineStr"/>
      <c r="G104" s="10" t="n">
        <v>3</v>
      </c>
      <c r="H104" s="6">
        <f>D104*E104*G104</f>
        <v/>
      </c>
      <c r="I104" s="5" t="inlineStr">
        <is>
          <t>Sqm</t>
        </is>
      </c>
    </row>
    <row r="105">
      <c r="A105" s="9" t="n"/>
      <c r="B105" s="5" t="inlineStr">
        <is>
          <t>Deduction - First Floor - Bedroom Door Plaster</t>
        </is>
      </c>
      <c r="C105" s="9" t="n"/>
      <c r="D105" s="10" t="n">
        <v>-1</v>
      </c>
      <c r="E105" s="10" t="n">
        <v>0.9</v>
      </c>
      <c r="F105" s="10" t="inlineStr"/>
      <c r="G105" s="10" t="n">
        <v>2.1</v>
      </c>
      <c r="H105" s="6">
        <f>D105*E105*G105</f>
        <v/>
      </c>
      <c r="I105" s="5" t="inlineStr">
        <is>
          <t>Sqm</t>
        </is>
      </c>
    </row>
    <row r="106">
      <c r="A106" s="9" t="n"/>
      <c r="B106" s="5" t="inlineStr">
        <is>
          <t>Deduction - First Floor - Bedroom Window Plaster</t>
        </is>
      </c>
      <c r="C106" s="9" t="n"/>
      <c r="D106" s="10" t="n">
        <v>-1</v>
      </c>
      <c r="E106" s="10" t="n">
        <v>1.5</v>
      </c>
      <c r="F106" s="10" t="inlineStr"/>
      <c r="G106" s="10" t="n">
        <v>1.5</v>
      </c>
      <c r="H106" s="6">
        <f>D106*E106*G106</f>
        <v/>
      </c>
      <c r="I106" s="5" t="inlineStr">
        <is>
          <t>Sqm</t>
        </is>
      </c>
    </row>
    <row r="107">
      <c r="A107" s="9" t="n"/>
      <c r="B107" s="5" t="inlineStr">
        <is>
          <t>First Floor - Bedroom Window Jam plaster</t>
        </is>
      </c>
      <c r="C107" s="9" t="n"/>
      <c r="D107" s="10" t="n">
        <v>1</v>
      </c>
      <c r="E107" s="10" t="n">
        <v>6</v>
      </c>
      <c r="F107" s="10" t="n">
        <v>0.15</v>
      </c>
      <c r="G107" s="10" t="inlineStr"/>
      <c r="H107" s="6">
        <f>D107*E107*F107</f>
        <v/>
      </c>
      <c r="I107" s="5" t="inlineStr">
        <is>
          <t>Sqm</t>
        </is>
      </c>
    </row>
    <row r="108">
      <c r="A108" s="9" t="n"/>
      <c r="B108" s="5" t="inlineStr">
        <is>
          <t>First Floor - Bedroom Ceiling Plaster</t>
        </is>
      </c>
      <c r="C108" s="9" t="n"/>
      <c r="D108" s="10" t="n">
        <v>1</v>
      </c>
      <c r="E108" s="10" t="n">
        <v>3.08</v>
      </c>
      <c r="F108" s="10" t="n">
        <v>4.675</v>
      </c>
      <c r="G108" s="10" t="inlineStr"/>
      <c r="H108" s="6">
        <f>D108*E108*F108</f>
        <v/>
      </c>
      <c r="I108" s="5" t="inlineStr">
        <is>
          <t>Sqm</t>
        </is>
      </c>
    </row>
    <row r="109">
      <c r="A109" s="9" t="n"/>
      <c r="B109" s="5" t="inlineStr">
        <is>
          <t>First Floor - Kitchen Wall Plaster</t>
        </is>
      </c>
      <c r="C109" s="9" t="n"/>
      <c r="D109" s="10" t="n">
        <v>1</v>
      </c>
      <c r="E109" s="10" t="n">
        <v>14.6</v>
      </c>
      <c r="F109" s="10" t="inlineStr"/>
      <c r="G109" s="10" t="n">
        <v>3</v>
      </c>
      <c r="H109" s="6">
        <f>D109*E109*G109</f>
        <v/>
      </c>
      <c r="I109" s="5" t="inlineStr">
        <is>
          <t>Sqm</t>
        </is>
      </c>
    </row>
    <row r="110">
      <c r="A110" s="9" t="n"/>
      <c r="B110" s="5" t="inlineStr">
        <is>
          <t>Deduction - First Floor - Kitchen Door Plaster</t>
        </is>
      </c>
      <c r="C110" s="9" t="n"/>
      <c r="D110" s="10" t="n">
        <v>-1</v>
      </c>
      <c r="E110" s="10" t="n">
        <v>0.9</v>
      </c>
      <c r="F110" s="10" t="inlineStr"/>
      <c r="G110" s="10" t="n">
        <v>2.1</v>
      </c>
      <c r="H110" s="6">
        <f>D110*E110*G110</f>
        <v/>
      </c>
      <c r="I110" s="5" t="inlineStr">
        <is>
          <t>Sqm</t>
        </is>
      </c>
    </row>
    <row r="111">
      <c r="A111" s="9" t="n"/>
      <c r="B111" s="5" t="inlineStr">
        <is>
          <t>Deduction - First Floor - Kitchen Window Plaster</t>
        </is>
      </c>
      <c r="C111" s="9" t="n"/>
      <c r="D111" s="10" t="n">
        <v>-1</v>
      </c>
      <c r="E111" s="10" t="n">
        <v>1.2</v>
      </c>
      <c r="F111" s="10" t="inlineStr"/>
      <c r="G111" s="10" t="n">
        <v>1.5</v>
      </c>
      <c r="H111" s="6">
        <f>D111*E111*G111</f>
        <v/>
      </c>
      <c r="I111" s="5" t="inlineStr">
        <is>
          <t>Sqm</t>
        </is>
      </c>
    </row>
    <row r="112">
      <c r="A112" s="9" t="n"/>
      <c r="B112" s="5" t="inlineStr">
        <is>
          <t>First Floor - Kitchen Window Jam plaster</t>
        </is>
      </c>
      <c r="C112" s="9" t="n"/>
      <c r="D112" s="10" t="n">
        <v>1</v>
      </c>
      <c r="E112" s="10" t="n">
        <v>5.4</v>
      </c>
      <c r="F112" s="10" t="n">
        <v>0.15</v>
      </c>
      <c r="G112" s="10" t="inlineStr"/>
      <c r="H112" s="6">
        <f>D112*E112*F112</f>
        <v/>
      </c>
      <c r="I112" s="5" t="inlineStr">
        <is>
          <t>Sqm</t>
        </is>
      </c>
    </row>
    <row r="113">
      <c r="A113" s="9" t="n"/>
      <c r="B113" s="5" t="inlineStr">
        <is>
          <t>First Floor - Kitchen Ceiling Plaster</t>
        </is>
      </c>
      <c r="C113" s="9" t="n"/>
      <c r="D113" s="10" t="n">
        <v>1</v>
      </c>
      <c r="E113" s="10" t="n">
        <v>3.65</v>
      </c>
      <c r="F113" s="10" t="n">
        <v>3.65</v>
      </c>
      <c r="G113" s="10" t="inlineStr"/>
      <c r="H113" s="6">
        <f>D113*E113*F113</f>
        <v/>
      </c>
      <c r="I113" s="5" t="inlineStr">
        <is>
          <t>Sqm</t>
        </is>
      </c>
    </row>
    <row r="114">
      <c r="A114" s="9" t="n"/>
      <c r="B114" s="5" t="inlineStr">
        <is>
          <t>First Floor - Toilet Wall Plaster</t>
        </is>
      </c>
      <c r="C114" s="9" t="n"/>
      <c r="D114" s="10" t="n">
        <v>1</v>
      </c>
      <c r="E114" s="10" t="n">
        <v>7.800000000000001</v>
      </c>
      <c r="F114" s="10" t="inlineStr"/>
      <c r="G114" s="10" t="n">
        <v>3</v>
      </c>
      <c r="H114" s="6">
        <f>D114*E114*G114</f>
        <v/>
      </c>
      <c r="I114" s="5" t="inlineStr">
        <is>
          <t>Sqm</t>
        </is>
      </c>
    </row>
    <row r="115">
      <c r="A115" s="9" t="n"/>
      <c r="B115" s="5" t="inlineStr">
        <is>
          <t>Deduction - First Floor - Toilet Door Plaster</t>
        </is>
      </c>
      <c r="C115" s="9" t="n"/>
      <c r="D115" s="10" t="n">
        <v>-1</v>
      </c>
      <c r="E115" s="10" t="n">
        <v>0.75</v>
      </c>
      <c r="F115" s="10" t="inlineStr"/>
      <c r="G115" s="10" t="n">
        <v>2.1</v>
      </c>
      <c r="H115" s="6">
        <f>D115*E115*G115</f>
        <v/>
      </c>
      <c r="I115" s="5" t="inlineStr">
        <is>
          <t>Sqm</t>
        </is>
      </c>
    </row>
    <row r="116">
      <c r="A116" s="9" t="n"/>
      <c r="B116" s="5" t="inlineStr">
        <is>
          <t>Deduction - First Floor - Toilet Window Plaster</t>
        </is>
      </c>
      <c r="C116" s="9" t="n"/>
      <c r="D116" s="10" t="n">
        <v>-1</v>
      </c>
      <c r="E116" s="10" t="n">
        <v>0.6</v>
      </c>
      <c r="F116" s="10" t="inlineStr"/>
      <c r="G116" s="10" t="n">
        <v>0.6</v>
      </c>
      <c r="H116" s="6">
        <f>D116*E116*G116</f>
        <v/>
      </c>
      <c r="I116" s="5" t="inlineStr">
        <is>
          <t>Sqm</t>
        </is>
      </c>
    </row>
    <row r="117">
      <c r="A117" s="9" t="n"/>
      <c r="B117" s="5" t="inlineStr">
        <is>
          <t>First Floor - Toilet Window Jam plaster</t>
        </is>
      </c>
      <c r="C117" s="9" t="n"/>
      <c r="D117" s="10" t="n">
        <v>1</v>
      </c>
      <c r="E117" s="10" t="n">
        <v>2.4</v>
      </c>
      <c r="F117" s="10" t="n">
        <v>0.15</v>
      </c>
      <c r="G117" s="10" t="inlineStr"/>
      <c r="H117" s="6">
        <f>D117*E117*F117</f>
        <v/>
      </c>
      <c r="I117" s="5" t="inlineStr">
        <is>
          <t>Sqm</t>
        </is>
      </c>
    </row>
    <row r="118">
      <c r="A118" s="9" t="n"/>
      <c r="B118" s="5" t="inlineStr">
        <is>
          <t>First Floor - Toilet Ceiling Plaster</t>
        </is>
      </c>
      <c r="C118" s="9" t="n"/>
      <c r="D118" s="10" t="n">
        <v>1</v>
      </c>
      <c r="E118" s="10" t="n">
        <v>1.7</v>
      </c>
      <c r="F118" s="10" t="n">
        <v>2.2</v>
      </c>
      <c r="G118" s="10" t="inlineStr"/>
      <c r="H118" s="6">
        <f>D118*E118*F118</f>
        <v/>
      </c>
      <c r="I118" s="5" t="inlineStr">
        <is>
          <t>Sqm</t>
        </is>
      </c>
    </row>
    <row r="119">
      <c r="A119" s="9" t="n"/>
      <c r="B119" s="5" t="inlineStr">
        <is>
          <t>First Floor - Drawing Cum Dining Wall Plaster</t>
        </is>
      </c>
      <c r="C119" s="9" t="n"/>
      <c r="D119" s="10" t="n">
        <v>1</v>
      </c>
      <c r="E119" s="10" t="n">
        <v>22.18</v>
      </c>
      <c r="F119" s="10" t="inlineStr"/>
      <c r="G119" s="10" t="n">
        <v>3</v>
      </c>
      <c r="H119" s="6">
        <f>D119*E119*G119</f>
        <v/>
      </c>
      <c r="I119" s="5" t="inlineStr">
        <is>
          <t>Sqm</t>
        </is>
      </c>
    </row>
    <row r="120">
      <c r="A120" s="9" t="n"/>
      <c r="B120" s="5" t="inlineStr">
        <is>
          <t>Deduction - First Floor - Drawing Cum Dining Door Plaster</t>
        </is>
      </c>
      <c r="C120" s="9" t="n"/>
      <c r="D120" s="10" t="n">
        <v>-1</v>
      </c>
      <c r="E120" s="10" t="n">
        <v>1.2</v>
      </c>
      <c r="F120" s="10" t="inlineStr"/>
      <c r="G120" s="10" t="n">
        <v>2.1</v>
      </c>
      <c r="H120" s="6">
        <f>D120*E120*G120</f>
        <v/>
      </c>
      <c r="I120" s="5" t="inlineStr">
        <is>
          <t>Sqm</t>
        </is>
      </c>
    </row>
    <row r="121">
      <c r="A121" s="9" t="n"/>
      <c r="B121" s="5" t="inlineStr">
        <is>
          <t>Deduction - First Floor - Drawing Cum Dining Window Plaster</t>
        </is>
      </c>
      <c r="C121" s="9" t="n"/>
      <c r="D121" s="10" t="n">
        <v>-1</v>
      </c>
      <c r="E121" s="10" t="n">
        <v>1.5</v>
      </c>
      <c r="F121" s="10" t="inlineStr"/>
      <c r="G121" s="10" t="n">
        <v>1.5</v>
      </c>
      <c r="H121" s="6">
        <f>D121*E121*G121</f>
        <v/>
      </c>
      <c r="I121" s="5" t="inlineStr">
        <is>
          <t>Sqm</t>
        </is>
      </c>
    </row>
    <row r="122">
      <c r="A122" s="9" t="n"/>
      <c r="B122" s="5" t="inlineStr">
        <is>
          <t>First Floor - Drawing Cum Dining Window Jam plaster</t>
        </is>
      </c>
      <c r="C122" s="9" t="n"/>
      <c r="D122" s="10" t="n">
        <v>1</v>
      </c>
      <c r="E122" s="10" t="n">
        <v>6</v>
      </c>
      <c r="F122" s="10" t="n">
        <v>0.15</v>
      </c>
      <c r="G122" s="10" t="inlineStr"/>
      <c r="H122" s="6">
        <f>D122*E122*F122</f>
        <v/>
      </c>
      <c r="I122" s="5" t="inlineStr">
        <is>
          <t>Sqm</t>
        </is>
      </c>
    </row>
    <row r="123">
      <c r="A123" s="9" t="n"/>
      <c r="B123" s="5" t="inlineStr">
        <is>
          <t>First Floor - Drawing Cum Dining Ceiling Plaster</t>
        </is>
      </c>
      <c r="C123" s="9" t="n"/>
      <c r="D123" s="10" t="n">
        <v>1</v>
      </c>
      <c r="E123" s="10" t="n">
        <v>3.915</v>
      </c>
      <c r="F123" s="10" t="n">
        <v>7.175</v>
      </c>
      <c r="G123" s="10" t="inlineStr"/>
      <c r="H123" s="6">
        <f>D123*E123*F123</f>
        <v/>
      </c>
      <c r="I123" s="5" t="inlineStr">
        <is>
          <t>Sqm</t>
        </is>
      </c>
    </row>
    <row r="124">
      <c r="A124" s="9" t="n"/>
      <c r="B124" s="5" t="inlineStr">
        <is>
          <t>First Floor - Wash Balcony Wall Plaster</t>
        </is>
      </c>
      <c r="C124" s="9" t="n"/>
      <c r="D124" s="10" t="n">
        <v>1</v>
      </c>
      <c r="E124" s="10" t="n">
        <v>10.3</v>
      </c>
      <c r="F124" s="10" t="inlineStr"/>
      <c r="G124" s="10" t="n">
        <v>3</v>
      </c>
      <c r="H124" s="6">
        <f>D124*E124*G124</f>
        <v/>
      </c>
      <c r="I124" s="5" t="inlineStr">
        <is>
          <t>Sqm</t>
        </is>
      </c>
    </row>
    <row r="125">
      <c r="A125" s="9" t="n"/>
      <c r="B125" s="5" t="inlineStr">
        <is>
          <t>Deduction - First Floor - Wash Balcony Door Plaster</t>
        </is>
      </c>
      <c r="C125" s="9" t="n"/>
      <c r="D125" s="10" t="n">
        <v>-1</v>
      </c>
      <c r="E125" s="10" t="n">
        <v>0.9</v>
      </c>
      <c r="F125" s="10" t="inlineStr"/>
      <c r="G125" s="10" t="n">
        <v>2.1</v>
      </c>
      <c r="H125" s="6">
        <f>D125*E125*G125</f>
        <v/>
      </c>
      <c r="I125" s="5" t="inlineStr">
        <is>
          <t>Sqm</t>
        </is>
      </c>
    </row>
    <row r="126">
      <c r="A126" s="9" t="n"/>
      <c r="B126" s="5" t="inlineStr">
        <is>
          <t>First Floor - Wash Balcony Ceiling Plaster</t>
        </is>
      </c>
      <c r="C126" s="9" t="n"/>
      <c r="D126" s="10" t="n">
        <v>1</v>
      </c>
      <c r="E126" s="10" t="n">
        <v>3.65</v>
      </c>
      <c r="F126" s="10" t="n">
        <v>1.5</v>
      </c>
      <c r="G126" s="10" t="inlineStr"/>
      <c r="H126" s="6">
        <f>D126*E126*F126</f>
        <v/>
      </c>
      <c r="I126" s="5" t="inlineStr">
        <is>
          <t>Sqm</t>
        </is>
      </c>
    </row>
    <row r="127">
      <c r="A127" s="9" t="n"/>
      <c r="B127" s="5" t="inlineStr">
        <is>
          <t>First Floor - Front Balcony Wall Plaster</t>
        </is>
      </c>
      <c r="C127" s="9" t="n"/>
      <c r="D127" s="10" t="n">
        <v>1</v>
      </c>
      <c r="E127" s="10" t="n">
        <v>9.059999999999999</v>
      </c>
      <c r="F127" s="10" t="inlineStr"/>
      <c r="G127" s="10" t="n">
        <v>3</v>
      </c>
      <c r="H127" s="6">
        <f>D127*E127*G127</f>
        <v/>
      </c>
      <c r="I127" s="5" t="inlineStr">
        <is>
          <t>Sqm</t>
        </is>
      </c>
    </row>
    <row r="128">
      <c r="A128" s="9" t="n"/>
      <c r="B128" s="5" t="inlineStr">
        <is>
          <t>Deduction - First Floor - Front Balcony Door Plaster</t>
        </is>
      </c>
      <c r="C128" s="9" t="n"/>
      <c r="D128" s="10" t="n">
        <v>-1</v>
      </c>
      <c r="E128" s="10" t="n">
        <v>0.9</v>
      </c>
      <c r="F128" s="10" t="inlineStr"/>
      <c r="G128" s="10" t="n">
        <v>2.1</v>
      </c>
      <c r="H128" s="6">
        <f>D128*E128*G128</f>
        <v/>
      </c>
      <c r="I128" s="5" t="inlineStr">
        <is>
          <t>Sqm</t>
        </is>
      </c>
    </row>
    <row r="129">
      <c r="A129" s="9" t="n"/>
      <c r="B129" s="5" t="inlineStr">
        <is>
          <t>First Floor - Front Balcony Ceiling Plaster</t>
        </is>
      </c>
      <c r="C129" s="9" t="n"/>
      <c r="D129" s="10" t="n">
        <v>1</v>
      </c>
      <c r="E129" s="10" t="n">
        <v>3.03</v>
      </c>
      <c r="F129" s="10" t="n">
        <v>1.5</v>
      </c>
      <c r="G129" s="10" t="inlineStr"/>
      <c r="H129" s="6">
        <f>D129*E129*F129</f>
        <v/>
      </c>
      <c r="I129" s="5" t="inlineStr">
        <is>
          <t>Sqm</t>
        </is>
      </c>
    </row>
    <row r="130">
      <c r="A130" s="9" t="n"/>
      <c r="B130" s="5" t="inlineStr">
        <is>
          <t>First Floor - External plaster</t>
        </is>
      </c>
      <c r="C130" s="9" t="n"/>
      <c r="D130" s="10" t="n">
        <v>1</v>
      </c>
      <c r="E130" s="10" t="n">
        <v>33.65</v>
      </c>
      <c r="F130" s="10" t="inlineStr"/>
      <c r="G130" s="10" t="n">
        <v>3</v>
      </c>
      <c r="H130" s="6">
        <f>D130*E130*G130</f>
        <v/>
      </c>
      <c r="I130" s="5" t="inlineStr">
        <is>
          <t>Sqm</t>
        </is>
      </c>
    </row>
    <row r="131">
      <c r="A131" s="9" t="n"/>
      <c r="B131" s="5" t="inlineStr">
        <is>
          <t>Second Floor - Bedroom Wall Plaster</t>
        </is>
      </c>
      <c r="C131" s="9" t="n"/>
      <c r="D131" s="10" t="n">
        <v>1</v>
      </c>
      <c r="E131" s="10" t="n">
        <v>14.68</v>
      </c>
      <c r="F131" s="10" t="inlineStr"/>
      <c r="G131" s="10" t="n">
        <v>3</v>
      </c>
      <c r="H131" s="6">
        <f>D131*E131*G131</f>
        <v/>
      </c>
      <c r="I131" s="5" t="inlineStr">
        <is>
          <t>Sqm</t>
        </is>
      </c>
    </row>
    <row r="132">
      <c r="A132" s="9" t="n"/>
      <c r="B132" s="5" t="inlineStr">
        <is>
          <t>Deduction - Second Floor - Bedroom Door Plaster</t>
        </is>
      </c>
      <c r="C132" s="9" t="n"/>
      <c r="D132" s="10" t="n">
        <v>-1</v>
      </c>
      <c r="E132" s="10" t="n">
        <v>0.9</v>
      </c>
      <c r="F132" s="10" t="inlineStr"/>
      <c r="G132" s="10" t="n">
        <v>2.1</v>
      </c>
      <c r="H132" s="6">
        <f>D132*E132*G132</f>
        <v/>
      </c>
      <c r="I132" s="5" t="inlineStr">
        <is>
          <t>Sqm</t>
        </is>
      </c>
    </row>
    <row r="133">
      <c r="A133" s="9" t="n"/>
      <c r="B133" s="5" t="inlineStr">
        <is>
          <t>Deduction - Second Floor - Bedroom Window Plaster</t>
        </is>
      </c>
      <c r="C133" s="9" t="n"/>
      <c r="D133" s="10" t="n">
        <v>-1</v>
      </c>
      <c r="E133" s="10" t="n">
        <v>1.5</v>
      </c>
      <c r="F133" s="10" t="inlineStr"/>
      <c r="G133" s="10" t="n">
        <v>1.5</v>
      </c>
      <c r="H133" s="6">
        <f>D133*E133*G133</f>
        <v/>
      </c>
      <c r="I133" s="5" t="inlineStr">
        <is>
          <t>Sqm</t>
        </is>
      </c>
    </row>
    <row r="134">
      <c r="A134" s="9" t="n"/>
      <c r="B134" s="5" t="inlineStr">
        <is>
          <t>Second Floor - Bedroom Window Jam plaster</t>
        </is>
      </c>
      <c r="C134" s="9" t="n"/>
      <c r="D134" s="10" t="n">
        <v>1</v>
      </c>
      <c r="E134" s="10" t="n">
        <v>6</v>
      </c>
      <c r="F134" s="10" t="n">
        <v>0.15</v>
      </c>
      <c r="G134" s="10" t="inlineStr"/>
      <c r="H134" s="6">
        <f>D134*E134*F134</f>
        <v/>
      </c>
      <c r="I134" s="5" t="inlineStr">
        <is>
          <t>Sqm</t>
        </is>
      </c>
    </row>
    <row r="135">
      <c r="A135" s="9" t="n"/>
      <c r="B135" s="5" t="inlineStr">
        <is>
          <t>Second Floor - Bedroom Ceiling Plaster</t>
        </is>
      </c>
      <c r="C135" s="9" t="n"/>
      <c r="D135" s="10" t="n">
        <v>1</v>
      </c>
      <c r="E135" s="10" t="n">
        <v>3.565</v>
      </c>
      <c r="F135" s="10" t="n">
        <v>3.775</v>
      </c>
      <c r="G135" s="10" t="inlineStr"/>
      <c r="H135" s="6">
        <f>D135*E135*F135</f>
        <v/>
      </c>
      <c r="I135" s="5" t="inlineStr">
        <is>
          <t>Sqm</t>
        </is>
      </c>
    </row>
    <row r="136">
      <c r="A136" s="9" t="n"/>
      <c r="B136" s="5" t="inlineStr">
        <is>
          <t>Second Floor - Dressing Wall Plaster</t>
        </is>
      </c>
      <c r="C136" s="9" t="n"/>
      <c r="D136" s="10" t="n">
        <v>1</v>
      </c>
      <c r="E136" s="10" t="n">
        <v>10.65</v>
      </c>
      <c r="F136" s="10" t="inlineStr"/>
      <c r="G136" s="10" t="n">
        <v>3</v>
      </c>
      <c r="H136" s="6">
        <f>D136*E136*G136</f>
        <v/>
      </c>
      <c r="I136" s="5" t="inlineStr">
        <is>
          <t>Sqm</t>
        </is>
      </c>
    </row>
    <row r="137">
      <c r="A137" s="9" t="n"/>
      <c r="B137" s="5" t="inlineStr">
        <is>
          <t>Deduction - Second Floor - Dressing Door Plaster</t>
        </is>
      </c>
      <c r="C137" s="9" t="n"/>
      <c r="D137" s="10" t="n">
        <v>-1</v>
      </c>
      <c r="E137" s="10" t="n">
        <v>0.9</v>
      </c>
      <c r="F137" s="10" t="inlineStr"/>
      <c r="G137" s="10" t="n">
        <v>2.1</v>
      </c>
      <c r="H137" s="6">
        <f>D137*E137*G137</f>
        <v/>
      </c>
      <c r="I137" s="5" t="inlineStr">
        <is>
          <t>Sqm</t>
        </is>
      </c>
    </row>
    <row r="138">
      <c r="A138" s="9" t="n"/>
      <c r="B138" s="5" t="inlineStr">
        <is>
          <t>Second Floor - Dressing Ceiling Plaster</t>
        </is>
      </c>
      <c r="C138" s="9" t="n"/>
      <c r="D138" s="10" t="n">
        <v>1</v>
      </c>
      <c r="E138" s="10" t="n">
        <v>3.165</v>
      </c>
      <c r="F138" s="10" t="n">
        <v>2.16</v>
      </c>
      <c r="G138" s="10" t="inlineStr"/>
      <c r="H138" s="6">
        <f>D138*E138*F138</f>
        <v/>
      </c>
      <c r="I138" s="5" t="inlineStr">
        <is>
          <t>Sqm</t>
        </is>
      </c>
    </row>
    <row r="139">
      <c r="A139" s="9" t="n"/>
      <c r="B139" s="5" t="inlineStr">
        <is>
          <t>Second Floor - Toilet Wall Plaster</t>
        </is>
      </c>
      <c r="C139" s="9" t="n"/>
      <c r="D139" s="10" t="n">
        <v>1</v>
      </c>
      <c r="E139" s="10" t="n">
        <v>9.33</v>
      </c>
      <c r="F139" s="10" t="inlineStr"/>
      <c r="G139" s="10" t="n">
        <v>3</v>
      </c>
      <c r="H139" s="6">
        <f>D139*E139*G139</f>
        <v/>
      </c>
      <c r="I139" s="5" t="inlineStr">
        <is>
          <t>Sqm</t>
        </is>
      </c>
    </row>
    <row r="140">
      <c r="A140" s="9" t="n"/>
      <c r="B140" s="5" t="inlineStr">
        <is>
          <t>Deduction - Second Floor - Toilet Door Plaster</t>
        </is>
      </c>
      <c r="C140" s="9" t="n"/>
      <c r="D140" s="10" t="n">
        <v>-1</v>
      </c>
      <c r="E140" s="10" t="n">
        <v>0.75</v>
      </c>
      <c r="F140" s="10" t="inlineStr"/>
      <c r="G140" s="10" t="n">
        <v>2.1</v>
      </c>
      <c r="H140" s="6">
        <f>D140*E140*G140</f>
        <v/>
      </c>
      <c r="I140" s="5" t="inlineStr">
        <is>
          <t>Sqm</t>
        </is>
      </c>
    </row>
    <row r="141">
      <c r="A141" s="9" t="n"/>
      <c r="B141" s="5" t="inlineStr">
        <is>
          <t>Deduction - Second Floor - Toilet Window Plaster</t>
        </is>
      </c>
      <c r="C141" s="9" t="n"/>
      <c r="D141" s="10" t="n">
        <v>-1</v>
      </c>
      <c r="E141" s="10" t="n">
        <v>0.6</v>
      </c>
      <c r="F141" s="10" t="inlineStr"/>
      <c r="G141" s="10" t="n">
        <v>0.6</v>
      </c>
      <c r="H141" s="6">
        <f>D141*E141*G141</f>
        <v/>
      </c>
      <c r="I141" s="5" t="inlineStr">
        <is>
          <t>Sqm</t>
        </is>
      </c>
    </row>
    <row r="142">
      <c r="A142" s="9" t="n"/>
      <c r="B142" s="5" t="inlineStr">
        <is>
          <t>Second Floor - Toilet Window Jam plaster</t>
        </is>
      </c>
      <c r="C142" s="9" t="n"/>
      <c r="D142" s="10" t="n">
        <v>1</v>
      </c>
      <c r="E142" s="10" t="n">
        <v>2.4</v>
      </c>
      <c r="F142" s="10" t="n">
        <v>0.15</v>
      </c>
      <c r="G142" s="10" t="inlineStr"/>
      <c r="H142" s="6">
        <f>D142*E142*F142</f>
        <v/>
      </c>
      <c r="I142" s="5" t="inlineStr">
        <is>
          <t>Sqm</t>
        </is>
      </c>
    </row>
    <row r="143">
      <c r="A143" s="9" t="n"/>
      <c r="B143" s="5" t="inlineStr">
        <is>
          <t>Second Floor - Toilet Ceiling Plaster</t>
        </is>
      </c>
      <c r="C143" s="9" t="n"/>
      <c r="D143" s="10" t="n">
        <v>1</v>
      </c>
      <c r="E143" s="10" t="n">
        <v>3.165</v>
      </c>
      <c r="F143" s="10" t="n">
        <v>1.5</v>
      </c>
      <c r="G143" s="10" t="inlineStr"/>
      <c r="H143" s="6">
        <f>D143*E143*F143</f>
        <v/>
      </c>
      <c r="I143" s="5" t="inlineStr">
        <is>
          <t>Sqm</t>
        </is>
      </c>
    </row>
    <row r="144">
      <c r="A144" s="9" t="n"/>
      <c r="B144" s="5" t="inlineStr">
        <is>
          <t>Second Floor - Room Wall Plaster</t>
        </is>
      </c>
      <c r="C144" s="9" t="n"/>
      <c r="D144" s="10" t="n">
        <v>1</v>
      </c>
      <c r="E144" s="10" t="n">
        <v>17.6</v>
      </c>
      <c r="F144" s="10" t="inlineStr"/>
      <c r="G144" s="10" t="n">
        <v>3</v>
      </c>
      <c r="H144" s="6">
        <f>D144*E144*G144</f>
        <v/>
      </c>
      <c r="I144" s="5" t="inlineStr">
        <is>
          <t>Sqm</t>
        </is>
      </c>
    </row>
    <row r="145">
      <c r="A145" s="9" t="n"/>
      <c r="B145" s="5" t="inlineStr">
        <is>
          <t>Deduction - Second Floor - Room Door Plaster</t>
        </is>
      </c>
      <c r="C145" s="9" t="n"/>
      <c r="D145" s="10" t="n">
        <v>-1</v>
      </c>
      <c r="E145" s="10" t="n">
        <v>0.9</v>
      </c>
      <c r="F145" s="10" t="inlineStr"/>
      <c r="G145" s="10" t="n">
        <v>2.1</v>
      </c>
      <c r="H145" s="6">
        <f>D145*E145*G145</f>
        <v/>
      </c>
      <c r="I145" s="5" t="inlineStr">
        <is>
          <t>Sqm</t>
        </is>
      </c>
    </row>
    <row r="146">
      <c r="A146" s="9" t="n"/>
      <c r="B146" s="5" t="inlineStr">
        <is>
          <t>Deduction - Second Floor - Room Window Plaster</t>
        </is>
      </c>
      <c r="C146" s="9" t="n"/>
      <c r="D146" s="10" t="n">
        <v>-1</v>
      </c>
      <c r="E146" s="10" t="n">
        <v>1.5</v>
      </c>
      <c r="F146" s="10" t="inlineStr"/>
      <c r="G146" s="10" t="n">
        <v>1.5</v>
      </c>
      <c r="H146" s="6">
        <f>D146*E146*G146</f>
        <v/>
      </c>
      <c r="I146" s="5" t="inlineStr">
        <is>
          <t>Sqm</t>
        </is>
      </c>
    </row>
    <row r="147">
      <c r="A147" s="9" t="n"/>
      <c r="B147" s="5" t="inlineStr">
        <is>
          <t>Second Floor - Room Window Jam plaster</t>
        </is>
      </c>
      <c r="C147" s="9" t="n"/>
      <c r="D147" s="10" t="n">
        <v>1</v>
      </c>
      <c r="E147" s="10" t="n">
        <v>6</v>
      </c>
      <c r="F147" s="10" t="n">
        <v>0.15</v>
      </c>
      <c r="G147" s="10" t="inlineStr"/>
      <c r="H147" s="6">
        <f>D147*E147*F147</f>
        <v/>
      </c>
      <c r="I147" s="5" t="inlineStr">
        <is>
          <t>Sqm</t>
        </is>
      </c>
    </row>
    <row r="148">
      <c r="A148" s="9" t="n"/>
      <c r="B148" s="5" t="inlineStr">
        <is>
          <t>Second Floor - Room Ceiling Plaster</t>
        </is>
      </c>
      <c r="C148" s="9" t="n"/>
      <c r="D148" s="10" t="n">
        <v>1</v>
      </c>
      <c r="E148" s="10" t="n">
        <v>5.765</v>
      </c>
      <c r="F148" s="10" t="n">
        <v>3.035</v>
      </c>
      <c r="G148" s="10" t="inlineStr"/>
      <c r="H148" s="6">
        <f>D148*E148*F148</f>
        <v/>
      </c>
      <c r="I148" s="5" t="inlineStr">
        <is>
          <t>Sqm</t>
        </is>
      </c>
    </row>
    <row r="149">
      <c r="A149" s="9" t="n"/>
      <c r="B149" s="5" t="inlineStr">
        <is>
          <t>Second Floor - Bedroom Wall Plaster</t>
        </is>
      </c>
      <c r="C149" s="9" t="n"/>
      <c r="D149" s="10" t="n">
        <v>1</v>
      </c>
      <c r="E149" s="10" t="n">
        <v>15.73</v>
      </c>
      <c r="F149" s="10" t="inlineStr"/>
      <c r="G149" s="10" t="n">
        <v>3</v>
      </c>
      <c r="H149" s="6">
        <f>D149*E149*G149</f>
        <v/>
      </c>
      <c r="I149" s="5" t="inlineStr">
        <is>
          <t>Sqm</t>
        </is>
      </c>
    </row>
    <row r="150">
      <c r="A150" s="9" t="n"/>
      <c r="B150" s="5" t="inlineStr">
        <is>
          <t>Deduction - Second Floor - Bedroom Door Plaster</t>
        </is>
      </c>
      <c r="C150" s="9" t="n"/>
      <c r="D150" s="10" t="n">
        <v>-1</v>
      </c>
      <c r="E150" s="10" t="n">
        <v>0.9</v>
      </c>
      <c r="F150" s="10" t="inlineStr"/>
      <c r="G150" s="10" t="n">
        <v>2.1</v>
      </c>
      <c r="H150" s="6">
        <f>D150*E150*G150</f>
        <v/>
      </c>
      <c r="I150" s="5" t="inlineStr">
        <is>
          <t>Sqm</t>
        </is>
      </c>
    </row>
    <row r="151">
      <c r="A151" s="9" t="n"/>
      <c r="B151" s="5" t="inlineStr">
        <is>
          <t>Deduction - Second Floor - Bedroom Window Plaster</t>
        </is>
      </c>
      <c r="C151" s="9" t="n"/>
      <c r="D151" s="10" t="n">
        <v>-1</v>
      </c>
      <c r="E151" s="10" t="n">
        <v>1.5</v>
      </c>
      <c r="F151" s="10" t="inlineStr"/>
      <c r="G151" s="10" t="n">
        <v>1.5</v>
      </c>
      <c r="H151" s="6">
        <f>D151*E151*G151</f>
        <v/>
      </c>
      <c r="I151" s="5" t="inlineStr">
        <is>
          <t>Sqm</t>
        </is>
      </c>
    </row>
    <row r="152">
      <c r="A152" s="9" t="n"/>
      <c r="B152" s="5" t="inlineStr">
        <is>
          <t>Second Floor - Bedroom Window Jam plaster</t>
        </is>
      </c>
      <c r="C152" s="9" t="n"/>
      <c r="D152" s="10" t="n">
        <v>1</v>
      </c>
      <c r="E152" s="10" t="n">
        <v>6</v>
      </c>
      <c r="F152" s="10" t="n">
        <v>0.15</v>
      </c>
      <c r="G152" s="10" t="inlineStr"/>
      <c r="H152" s="6">
        <f>D152*E152*F152</f>
        <v/>
      </c>
      <c r="I152" s="5" t="inlineStr">
        <is>
          <t>Sqm</t>
        </is>
      </c>
    </row>
    <row r="153">
      <c r="A153" s="9" t="n"/>
      <c r="B153" s="5" t="inlineStr">
        <is>
          <t>Second Floor - Bedroom Ceiling Plaster</t>
        </is>
      </c>
      <c r="C153" s="9" t="n"/>
      <c r="D153" s="10" t="n">
        <v>1</v>
      </c>
      <c r="E153" s="10" t="n">
        <v>3.915</v>
      </c>
      <c r="F153" s="10" t="n">
        <v>3.95</v>
      </c>
      <c r="G153" s="10" t="inlineStr"/>
      <c r="H153" s="6">
        <f>D153*E153*F153</f>
        <v/>
      </c>
      <c r="I153" s="5" t="inlineStr">
        <is>
          <t>Sqm</t>
        </is>
      </c>
    </row>
    <row r="154">
      <c r="A154" s="9" t="n"/>
      <c r="B154" s="5" t="inlineStr">
        <is>
          <t>Second Floor - Toilet Wall Plaster</t>
        </is>
      </c>
      <c r="C154" s="9" t="n"/>
      <c r="D154" s="10" t="n">
        <v>1</v>
      </c>
      <c r="E154" s="10" t="n">
        <v>8.26</v>
      </c>
      <c r="F154" s="10" t="inlineStr"/>
      <c r="G154" s="10" t="n">
        <v>3</v>
      </c>
      <c r="H154" s="6">
        <f>D154*E154*G154</f>
        <v/>
      </c>
      <c r="I154" s="5" t="inlineStr">
        <is>
          <t>Sqm</t>
        </is>
      </c>
    </row>
    <row r="155">
      <c r="A155" s="9" t="n"/>
      <c r="B155" s="5" t="inlineStr">
        <is>
          <t>Deduction - Second Floor - Toilet Door Plaster</t>
        </is>
      </c>
      <c r="C155" s="9" t="n"/>
      <c r="D155" s="10" t="n">
        <v>-1</v>
      </c>
      <c r="E155" s="10" t="n">
        <v>0.75</v>
      </c>
      <c r="F155" s="10" t="inlineStr"/>
      <c r="G155" s="10" t="n">
        <v>2.1</v>
      </c>
      <c r="H155" s="6">
        <f>D155*E155*G155</f>
        <v/>
      </c>
      <c r="I155" s="5" t="inlineStr">
        <is>
          <t>Sqm</t>
        </is>
      </c>
    </row>
    <row r="156">
      <c r="A156" s="9" t="n"/>
      <c r="B156" s="5" t="inlineStr">
        <is>
          <t>Deduction - Second Floor - Toilet Window Plaster</t>
        </is>
      </c>
      <c r="C156" s="9" t="n"/>
      <c r="D156" s="10" t="n">
        <v>-1</v>
      </c>
      <c r="E156" s="10" t="n">
        <v>0.6</v>
      </c>
      <c r="F156" s="10" t="inlineStr"/>
      <c r="G156" s="10" t="n">
        <v>0.6</v>
      </c>
      <c r="H156" s="6">
        <f>D156*E156*G156</f>
        <v/>
      </c>
      <c r="I156" s="5" t="inlineStr">
        <is>
          <t>Sqm</t>
        </is>
      </c>
    </row>
    <row r="157">
      <c r="A157" s="9" t="n"/>
      <c r="B157" s="5" t="inlineStr">
        <is>
          <t>Second Floor - Toilet Window Jam plaster</t>
        </is>
      </c>
      <c r="C157" s="9" t="n"/>
      <c r="D157" s="10" t="n">
        <v>1</v>
      </c>
      <c r="E157" s="10" t="n">
        <v>2.4</v>
      </c>
      <c r="F157" s="10" t="n">
        <v>0.15</v>
      </c>
      <c r="G157" s="10" t="inlineStr"/>
      <c r="H157" s="6">
        <f>D157*E157*F157</f>
        <v/>
      </c>
      <c r="I157" s="5" t="inlineStr">
        <is>
          <t>Sqm</t>
        </is>
      </c>
    </row>
    <row r="158">
      <c r="A158" s="9" t="n"/>
      <c r="B158" s="5" t="inlineStr">
        <is>
          <t>Second Floor - Toilet Ceiling Plaster</t>
        </is>
      </c>
      <c r="C158" s="9" t="n"/>
      <c r="D158" s="10" t="n">
        <v>1</v>
      </c>
      <c r="E158" s="10" t="n">
        <v>2.78</v>
      </c>
      <c r="F158" s="10" t="n">
        <v>1.35</v>
      </c>
      <c r="G158" s="10" t="inlineStr"/>
      <c r="H158" s="6">
        <f>D158*E158*F158</f>
        <v/>
      </c>
      <c r="I158" s="5" t="inlineStr">
        <is>
          <t>Sqm</t>
        </is>
      </c>
    </row>
    <row r="159">
      <c r="A159" s="9" t="n"/>
      <c r="B159" s="5" t="inlineStr">
        <is>
          <t>Second Floor - Balcony Wall Plaster</t>
        </is>
      </c>
      <c r="C159" s="9" t="n"/>
      <c r="D159" s="10" t="n">
        <v>1</v>
      </c>
      <c r="E159" s="10" t="n">
        <v>10.83</v>
      </c>
      <c r="F159" s="10" t="inlineStr"/>
      <c r="G159" s="10" t="n">
        <v>3</v>
      </c>
      <c r="H159" s="6">
        <f>D159*E159*G159</f>
        <v/>
      </c>
      <c r="I159" s="5" t="inlineStr">
        <is>
          <t>Sqm</t>
        </is>
      </c>
    </row>
    <row r="160">
      <c r="A160" s="9" t="n"/>
      <c r="B160" s="5" t="inlineStr">
        <is>
          <t>Deduction - Second Floor - Balcony Door Plaster</t>
        </is>
      </c>
      <c r="C160" s="9" t="n"/>
      <c r="D160" s="10" t="n">
        <v>-1</v>
      </c>
      <c r="E160" s="10" t="n">
        <v>0.9</v>
      </c>
      <c r="F160" s="10" t="inlineStr"/>
      <c r="G160" s="10" t="n">
        <v>2.1</v>
      </c>
      <c r="H160" s="6">
        <f>D160*E160*G160</f>
        <v/>
      </c>
      <c r="I160" s="5" t="inlineStr">
        <is>
          <t>Sqm</t>
        </is>
      </c>
    </row>
    <row r="161">
      <c r="A161" s="9" t="n"/>
      <c r="B161" s="5" t="inlineStr">
        <is>
          <t>Second Floor - Balcony Ceiling Plaster</t>
        </is>
      </c>
      <c r="C161" s="9" t="n"/>
      <c r="D161" s="10" t="n">
        <v>1</v>
      </c>
      <c r="E161" s="10" t="n">
        <v>3.915</v>
      </c>
      <c r="F161" s="10" t="n">
        <v>1.5</v>
      </c>
      <c r="G161" s="10" t="inlineStr"/>
      <c r="H161" s="6">
        <f>D161*E161*F161</f>
        <v/>
      </c>
      <c r="I161" s="5" t="inlineStr">
        <is>
          <t>Sqm</t>
        </is>
      </c>
    </row>
    <row r="162">
      <c r="A162" s="9" t="n"/>
      <c r="B162" s="5" t="inlineStr">
        <is>
          <t>Second Floor - External plaster</t>
        </is>
      </c>
      <c r="C162" s="9" t="n"/>
      <c r="D162" s="10" t="n">
        <v>1</v>
      </c>
      <c r="E162" s="10" t="n">
        <v>33.18</v>
      </c>
      <c r="F162" s="10" t="inlineStr"/>
      <c r="G162" s="10" t="n">
        <v>3</v>
      </c>
      <c r="H162" s="6">
        <f>D162*E162*G162</f>
        <v/>
      </c>
      <c r="I162" s="5" t="inlineStr">
        <is>
          <t>Sqm</t>
        </is>
      </c>
    </row>
    <row r="163">
      <c r="A163" s="9" t="n"/>
      <c r="B163" s="5" t="inlineStr">
        <is>
          <t>Terrace Floor - Store Wall Plaster</t>
        </is>
      </c>
      <c r="C163" s="9" t="n"/>
      <c r="D163" s="10" t="n">
        <v>1</v>
      </c>
      <c r="E163" s="10" t="n">
        <v>10.95</v>
      </c>
      <c r="F163" s="10" t="inlineStr"/>
      <c r="G163" s="10" t="n">
        <v>3</v>
      </c>
      <c r="H163" s="6">
        <f>D163*E163*G163</f>
        <v/>
      </c>
      <c r="I163" s="5" t="inlineStr">
        <is>
          <t>Sqm</t>
        </is>
      </c>
    </row>
    <row r="164">
      <c r="A164" s="9" t="n"/>
      <c r="B164" s="5" t="inlineStr">
        <is>
          <t>Deduction - Terrace Floor - Store Door Plaster</t>
        </is>
      </c>
      <c r="C164" s="9" t="n"/>
      <c r="D164" s="10" t="n">
        <v>-1</v>
      </c>
      <c r="E164" s="10" t="n">
        <v>0.9</v>
      </c>
      <c r="F164" s="10" t="inlineStr"/>
      <c r="G164" s="10" t="n">
        <v>2.1</v>
      </c>
      <c r="H164" s="6">
        <f>D164*E164*G164</f>
        <v/>
      </c>
      <c r="I164" s="5" t="inlineStr">
        <is>
          <t>Sqm</t>
        </is>
      </c>
    </row>
    <row r="165">
      <c r="A165" s="9" t="n"/>
      <c r="B165" s="5" t="inlineStr">
        <is>
          <t>Deduction - Terrace Floor - Store Window Plaster</t>
        </is>
      </c>
      <c r="C165" s="9" t="n"/>
      <c r="D165" s="10" t="n">
        <v>-1</v>
      </c>
      <c r="E165" s="10" t="n">
        <v>1.2</v>
      </c>
      <c r="F165" s="10" t="inlineStr"/>
      <c r="G165" s="10" t="n">
        <v>1.5</v>
      </c>
      <c r="H165" s="6">
        <f>D165*E165*G165</f>
        <v/>
      </c>
      <c r="I165" s="5" t="inlineStr">
        <is>
          <t>Sqm</t>
        </is>
      </c>
    </row>
    <row r="166">
      <c r="A166" s="9" t="n"/>
      <c r="B166" s="5" t="inlineStr">
        <is>
          <t>Terrace Floor - Store Window Jam plaster</t>
        </is>
      </c>
      <c r="C166" s="9" t="n"/>
      <c r="D166" s="10" t="n">
        <v>1</v>
      </c>
      <c r="E166" s="10" t="n">
        <v>5.4</v>
      </c>
      <c r="F166" s="10" t="n">
        <v>0.15</v>
      </c>
      <c r="G166" s="10" t="inlineStr"/>
      <c r="H166" s="6">
        <f>D166*E166*F166</f>
        <v/>
      </c>
      <c r="I166" s="5" t="inlineStr">
        <is>
          <t>Sqm</t>
        </is>
      </c>
    </row>
    <row r="167">
      <c r="A167" s="9" t="n"/>
      <c r="B167" s="5" t="inlineStr">
        <is>
          <t>Terrace Floor - Store Ceiling Plaster</t>
        </is>
      </c>
      <c r="C167" s="9" t="n"/>
      <c r="D167" s="10" t="n">
        <v>1</v>
      </c>
      <c r="E167" s="10" t="n">
        <v>3.165</v>
      </c>
      <c r="F167" s="10" t="n">
        <v>2.31</v>
      </c>
      <c r="G167" s="10" t="inlineStr"/>
      <c r="H167" s="6">
        <f>D167*E167*F167</f>
        <v/>
      </c>
      <c r="I167" s="5" t="inlineStr">
        <is>
          <t>Sqm</t>
        </is>
      </c>
    </row>
    <row r="168">
      <c r="A168" s="9" t="n"/>
      <c r="B168" s="5" t="inlineStr">
        <is>
          <t>Terrace Floor - Toilet Wall Plaster</t>
        </is>
      </c>
      <c r="C168" s="9" t="n"/>
      <c r="D168" s="10" t="n">
        <v>1</v>
      </c>
      <c r="E168" s="10" t="n">
        <v>8.33</v>
      </c>
      <c r="F168" s="10" t="inlineStr"/>
      <c r="G168" s="10" t="n">
        <v>3</v>
      </c>
      <c r="H168" s="6">
        <f>D168*E168*G168</f>
        <v/>
      </c>
      <c r="I168" s="5" t="inlineStr">
        <is>
          <t>Sqm</t>
        </is>
      </c>
    </row>
    <row r="169">
      <c r="A169" s="9" t="n"/>
      <c r="B169" s="5" t="inlineStr">
        <is>
          <t>Deduction - Terrace Floor - Toilet Door Plaster</t>
        </is>
      </c>
      <c r="C169" s="9" t="n"/>
      <c r="D169" s="10" t="n">
        <v>-1</v>
      </c>
      <c r="E169" s="10" t="n">
        <v>0.75</v>
      </c>
      <c r="F169" s="10" t="inlineStr"/>
      <c r="G169" s="10" t="n">
        <v>2.1</v>
      </c>
      <c r="H169" s="6">
        <f>D169*E169*G169</f>
        <v/>
      </c>
      <c r="I169" s="5" t="inlineStr">
        <is>
          <t>Sqm</t>
        </is>
      </c>
    </row>
    <row r="170">
      <c r="A170" s="9" t="n"/>
      <c r="B170" s="5" t="inlineStr">
        <is>
          <t>Deduction - Terrace Floor - Toilet Window Plaster</t>
        </is>
      </c>
      <c r="C170" s="9" t="n"/>
      <c r="D170" s="10" t="n">
        <v>-1</v>
      </c>
      <c r="E170" s="10" t="n">
        <v>0.6</v>
      </c>
      <c r="F170" s="10" t="inlineStr"/>
      <c r="G170" s="10" t="n">
        <v>0.6</v>
      </c>
      <c r="H170" s="6">
        <f>D170*E170*G170</f>
        <v/>
      </c>
      <c r="I170" s="5" t="inlineStr">
        <is>
          <t>Sqm</t>
        </is>
      </c>
    </row>
    <row r="171">
      <c r="A171" s="9" t="n"/>
      <c r="B171" s="5" t="inlineStr">
        <is>
          <t>Terrace Floor - Toilet Window Jam plaster</t>
        </is>
      </c>
      <c r="C171" s="9" t="n"/>
      <c r="D171" s="10" t="n">
        <v>1</v>
      </c>
      <c r="E171" s="10" t="n">
        <v>2.4</v>
      </c>
      <c r="F171" s="10" t="n">
        <v>0.15</v>
      </c>
      <c r="G171" s="10" t="inlineStr"/>
      <c r="H171" s="6">
        <f>D171*E171*F171</f>
        <v/>
      </c>
      <c r="I171" s="5" t="inlineStr">
        <is>
          <t>Sqm</t>
        </is>
      </c>
    </row>
    <row r="172">
      <c r="A172" s="9" t="n"/>
      <c r="B172" s="5" t="inlineStr">
        <is>
          <t>Terrace Floor - Toilet Ceiling Plaster</t>
        </is>
      </c>
      <c r="C172" s="9" t="n"/>
      <c r="D172" s="10" t="n">
        <v>1</v>
      </c>
      <c r="E172" s="10" t="n">
        <v>2.815</v>
      </c>
      <c r="F172" s="10" t="n">
        <v>1.35</v>
      </c>
      <c r="G172" s="10" t="inlineStr"/>
      <c r="H172" s="6">
        <f>D172*E172*F172</f>
        <v/>
      </c>
      <c r="I172" s="5" t="inlineStr">
        <is>
          <t>Sqm</t>
        </is>
      </c>
    </row>
    <row r="173">
      <c r="A173" s="9" t="n"/>
      <c r="B173" s="5" t="inlineStr">
        <is>
          <t>Terrace Floor - Terrace Wall Plaster</t>
        </is>
      </c>
      <c r="C173" s="9" t="n"/>
      <c r="D173" s="10" t="n">
        <v>1</v>
      </c>
      <c r="E173" s="10" t="n">
        <v>34.17</v>
      </c>
      <c r="F173" s="10" t="inlineStr"/>
      <c r="G173" s="10" t="n">
        <v>3</v>
      </c>
      <c r="H173" s="6">
        <f>D173*E173*G173</f>
        <v/>
      </c>
      <c r="I173" s="5" t="inlineStr">
        <is>
          <t>Sqm</t>
        </is>
      </c>
    </row>
    <row r="174">
      <c r="A174" s="9" t="n"/>
      <c r="B174" s="5" t="inlineStr">
        <is>
          <t>Deduction - Terrace Floor - Terrace Door Plaster</t>
        </is>
      </c>
      <c r="C174" s="9" t="n"/>
      <c r="D174" s="10" t="n">
        <v>-1</v>
      </c>
      <c r="E174" s="10" t="n">
        <v>0.9</v>
      </c>
      <c r="F174" s="10" t="inlineStr"/>
      <c r="G174" s="10" t="n">
        <v>2.1</v>
      </c>
      <c r="H174" s="6">
        <f>D174*E174*G174</f>
        <v/>
      </c>
      <c r="I174" s="5" t="inlineStr">
        <is>
          <t>Sqm</t>
        </is>
      </c>
    </row>
    <row r="175">
      <c r="A175" s="9" t="n"/>
      <c r="B175" s="5" t="inlineStr">
        <is>
          <t>Terrace Floor - Terrace Ceiling Plaster</t>
        </is>
      </c>
      <c r="C175" s="9" t="n"/>
      <c r="D175" s="10" t="n">
        <v>1</v>
      </c>
      <c r="E175" s="10" t="n">
        <v>9.84</v>
      </c>
      <c r="F175" s="10" t="n">
        <v>7.245</v>
      </c>
      <c r="G175" s="10" t="inlineStr"/>
      <c r="H175" s="6">
        <f>D175*E175*F175</f>
        <v/>
      </c>
      <c r="I175" s="5" t="inlineStr">
        <is>
          <t>Sqm</t>
        </is>
      </c>
    </row>
    <row r="176">
      <c r="A176" s="9" t="n"/>
      <c r="B176" s="5" t="inlineStr">
        <is>
          <t>Terrace Floor - External plaster</t>
        </is>
      </c>
      <c r="C176" s="9" t="n"/>
      <c r="D176" s="10" t="n">
        <v>1</v>
      </c>
      <c r="E176" s="10" t="n">
        <v>36.62</v>
      </c>
      <c r="F176" s="10" t="inlineStr"/>
      <c r="G176" s="10" t="n">
        <v>3</v>
      </c>
      <c r="H176" s="6">
        <f>D176*E176*G176</f>
        <v/>
      </c>
      <c r="I176" s="5" t="inlineStr">
        <is>
          <t>Sqm</t>
        </is>
      </c>
    </row>
    <row r="177">
      <c r="A177" s="11" t="n"/>
      <c r="B177" s="12" t="inlineStr">
        <is>
          <t>Net Quantity</t>
        </is>
      </c>
      <c r="C177" s="11" t="n"/>
      <c r="D177" s="11" t="n"/>
      <c r="E177" s="11" t="n"/>
      <c r="F177" s="11" t="n"/>
      <c r="G177" s="11" t="n"/>
      <c r="H177" s="13">
        <f>ROUND(SUM(H90:H176), 2)</f>
        <v/>
      </c>
      <c r="I177" s="12" t="inlineStr">
        <is>
          <t>Sqm</t>
        </is>
      </c>
    </row>
    <row r="178"/>
    <row r="179" ht="24" customHeight="1">
      <c r="A179" s="3" t="inlineStr">
        <is>
          <t>6.0</t>
        </is>
      </c>
      <c r="B179" s="7" t="inlineStr">
        <is>
          <t>Flooring &amp; Finishes</t>
        </is>
      </c>
      <c r="C179" s="5" t="inlineStr">
        <is>
          <t>Detailed Quantity Takeoff for Flooring &amp; Finishes</t>
        </is>
      </c>
      <c r="D179" s="8" t="n"/>
      <c r="E179" s="8" t="n"/>
      <c r="F179" s="8" t="n"/>
      <c r="G179" s="8" t="n"/>
      <c r="H179" s="8" t="n"/>
      <c r="I179" s="7" t="inlineStr">
        <is>
          <t>Square Metre</t>
        </is>
      </c>
    </row>
    <row r="180"/>
    <row r="181" ht="20" customHeight="1">
      <c r="A181" s="8" t="n"/>
      <c r="B181" s="3" t="inlineStr">
        <is>
          <t>Description of Measurement</t>
        </is>
      </c>
      <c r="C181" s="8" t="n"/>
      <c r="D181" s="3" t="inlineStr">
        <is>
          <t>No.</t>
        </is>
      </c>
      <c r="E181" s="3" t="inlineStr">
        <is>
          <t>Length</t>
        </is>
      </c>
      <c r="F181" s="3" t="inlineStr">
        <is>
          <t>Width</t>
        </is>
      </c>
      <c r="G181" s="3" t="inlineStr">
        <is>
          <t>Height</t>
        </is>
      </c>
      <c r="H181" s="3" t="inlineStr">
        <is>
          <t>Quantity</t>
        </is>
      </c>
      <c r="I181" s="3" t="inlineStr">
        <is>
          <t>Unit</t>
        </is>
      </c>
    </row>
    <row r="182">
      <c r="A182" s="9" t="n"/>
      <c r="B182" s="5" t="inlineStr">
        <is>
          <t>Ground Floor - Office Flooring</t>
        </is>
      </c>
      <c r="C182" s="9" t="n"/>
      <c r="D182" s="10" t="n">
        <v>1</v>
      </c>
      <c r="E182" s="10" t="n">
        <v>2.815</v>
      </c>
      <c r="F182" s="10" t="n">
        <v>5.44</v>
      </c>
      <c r="G182" s="10" t="inlineStr"/>
      <c r="H182" s="6">
        <f>D182*E182*F182</f>
        <v/>
      </c>
      <c r="I182" s="5" t="inlineStr">
        <is>
          <t>Sqm</t>
        </is>
      </c>
    </row>
    <row r="183">
      <c r="A183" s="9" t="n"/>
      <c r="B183" s="5" t="inlineStr">
        <is>
          <t>Ground Floor - Office Skirting</t>
        </is>
      </c>
      <c r="C183" s="9" t="n"/>
      <c r="D183" s="10" t="n">
        <v>1</v>
      </c>
      <c r="E183" s="10" t="n">
        <v>15.61</v>
      </c>
      <c r="F183" s="10" t="inlineStr"/>
      <c r="G183" s="10" t="inlineStr"/>
      <c r="H183" s="6">
        <f>D183*E183</f>
        <v/>
      </c>
      <c r="I183" s="5" t="inlineStr">
        <is>
          <t>Sqm</t>
        </is>
      </c>
    </row>
    <row r="184">
      <c r="A184" s="9" t="n"/>
      <c r="B184" s="5" t="inlineStr">
        <is>
          <t>Ground Floor - Toilet Flooring</t>
        </is>
      </c>
      <c r="C184" s="9" t="n"/>
      <c r="D184" s="10" t="n">
        <v>1</v>
      </c>
      <c r="E184" s="10" t="n">
        <v>2.1</v>
      </c>
      <c r="F184" s="10" t="n">
        <v>1.35</v>
      </c>
      <c r="G184" s="10" t="inlineStr"/>
      <c r="H184" s="6">
        <f>D184*E184*F184</f>
        <v/>
      </c>
      <c r="I184" s="5" t="inlineStr">
        <is>
          <t>Sqm</t>
        </is>
      </c>
    </row>
    <row r="185">
      <c r="A185" s="9" t="n"/>
      <c r="B185" s="5" t="inlineStr">
        <is>
          <t>Ground Floor - Toilet Skirting</t>
        </is>
      </c>
      <c r="C185" s="9" t="n"/>
      <c r="D185" s="10" t="n">
        <v>1</v>
      </c>
      <c r="E185" s="10" t="n">
        <v>6.15</v>
      </c>
      <c r="F185" s="10" t="inlineStr"/>
      <c r="G185" s="10" t="inlineStr"/>
      <c r="H185" s="6">
        <f>D185*E185</f>
        <v/>
      </c>
      <c r="I185" s="5" t="inlineStr">
        <is>
          <t>Sqm</t>
        </is>
      </c>
    </row>
    <row r="186">
      <c r="A186" s="9" t="n"/>
      <c r="B186" s="5" t="inlineStr">
        <is>
          <t>Ground Floor - Toilet Wall Dado</t>
        </is>
      </c>
      <c r="C186" s="9" t="n"/>
      <c r="D186" s="10" t="n">
        <v>1</v>
      </c>
      <c r="E186" s="10" t="n">
        <v>6.9</v>
      </c>
      <c r="F186" s="10" t="inlineStr"/>
      <c r="G186" s="10" t="n">
        <v>2.1</v>
      </c>
      <c r="H186" s="6">
        <f>D186*E186*G186</f>
        <v/>
      </c>
      <c r="I186" s="5" t="inlineStr">
        <is>
          <t>Sqm</t>
        </is>
      </c>
    </row>
    <row r="187">
      <c r="A187" s="9" t="n"/>
      <c r="B187" s="5" t="inlineStr">
        <is>
          <t>Dado Ded. - Ground Floor - Toilet Door</t>
        </is>
      </c>
      <c r="C187" s="9" t="n"/>
      <c r="D187" s="10" t="n">
        <v>-1</v>
      </c>
      <c r="E187" s="10" t="n">
        <v>0.75</v>
      </c>
      <c r="F187" s="10" t="inlineStr"/>
      <c r="G187" s="10" t="n">
        <v>2.1</v>
      </c>
      <c r="H187" s="6">
        <f>D187*E187*G187</f>
        <v/>
      </c>
      <c r="I187" s="5" t="inlineStr">
        <is>
          <t>Sqm</t>
        </is>
      </c>
    </row>
    <row r="188">
      <c r="A188" s="9" t="n"/>
      <c r="B188" s="5" t="inlineStr">
        <is>
          <t>Dado Ded. - Ground Floor - Toilet Window</t>
        </is>
      </c>
      <c r="C188" s="9" t="n"/>
      <c r="D188" s="10" t="n">
        <v>-1</v>
      </c>
      <c r="E188" s="10" t="n">
        <v>0.6</v>
      </c>
      <c r="F188" s="10" t="inlineStr"/>
      <c r="G188" s="10" t="n">
        <v>0.6</v>
      </c>
      <c r="H188" s="6">
        <f>D188*E188*G188</f>
        <v/>
      </c>
      <c r="I188" s="5" t="inlineStr">
        <is>
          <t>Sqm</t>
        </is>
      </c>
    </row>
    <row r="189">
      <c r="A189" s="9" t="n"/>
      <c r="B189" s="5" t="inlineStr">
        <is>
          <t>Ground Floor - Store Flooring</t>
        </is>
      </c>
      <c r="C189" s="9" t="n"/>
      <c r="D189" s="10" t="n">
        <v>1</v>
      </c>
      <c r="E189" s="10" t="n">
        <v>1.05</v>
      </c>
      <c r="F189" s="10" t="n">
        <v>2.685</v>
      </c>
      <c r="G189" s="10" t="inlineStr"/>
      <c r="H189" s="6">
        <f>D189*E189*F189</f>
        <v/>
      </c>
      <c r="I189" s="5" t="inlineStr">
        <is>
          <t>Sqm</t>
        </is>
      </c>
    </row>
    <row r="190">
      <c r="A190" s="9" t="n"/>
      <c r="B190" s="5" t="inlineStr">
        <is>
          <t>Ground Floor - Store Skirting</t>
        </is>
      </c>
      <c r="C190" s="9" t="n"/>
      <c r="D190" s="10" t="n">
        <v>1</v>
      </c>
      <c r="E190" s="10" t="n">
        <v>6.57</v>
      </c>
      <c r="F190" s="10" t="inlineStr"/>
      <c r="G190" s="10" t="inlineStr"/>
      <c r="H190" s="6">
        <f>D190*E190</f>
        <v/>
      </c>
      <c r="I190" s="5" t="inlineStr">
        <is>
          <t>Sqm</t>
        </is>
      </c>
    </row>
    <row r="191">
      <c r="A191" s="9" t="n"/>
      <c r="B191" s="5" t="inlineStr">
        <is>
          <t>Ground Floor - Staircase tread finish (Granite)</t>
        </is>
      </c>
      <c r="C191" s="9" t="n"/>
      <c r="D191" s="10" t="n">
        <v>18</v>
      </c>
      <c r="E191" s="10" t="n">
        <v>0.25</v>
      </c>
      <c r="F191" s="10" t="n">
        <v>1</v>
      </c>
      <c r="G191" s="10" t="inlineStr"/>
      <c r="H191" s="6">
        <f>D191*E191*F191</f>
        <v/>
      </c>
      <c r="I191" s="5" t="inlineStr">
        <is>
          <t>Sqm</t>
        </is>
      </c>
    </row>
    <row r="192">
      <c r="A192" s="9" t="n"/>
      <c r="B192" s="5" t="inlineStr">
        <is>
          <t>Ground Floor - Staircase riser finish (Granite)</t>
        </is>
      </c>
      <c r="C192" s="9" t="n"/>
      <c r="D192" s="10" t="n">
        <v>18</v>
      </c>
      <c r="E192" s="10" t="n">
        <v>0.15</v>
      </c>
      <c r="F192" s="10" t="n">
        <v>1</v>
      </c>
      <c r="G192" s="10" t="inlineStr"/>
      <c r="H192" s="6">
        <f>D192*E192*F192</f>
        <v/>
      </c>
      <c r="I192" s="5" t="inlineStr">
        <is>
          <t>Sqm</t>
        </is>
      </c>
    </row>
    <row r="193">
      <c r="A193" s="9" t="n"/>
      <c r="B193" s="5" t="inlineStr">
        <is>
          <t>Ground Floor - Staircase midlanding finish (Granite)</t>
        </is>
      </c>
      <c r="C193" s="9" t="n"/>
      <c r="D193" s="10" t="n">
        <v>1</v>
      </c>
      <c r="E193" s="10" t="n">
        <v>2.1</v>
      </c>
      <c r="F193" s="10" t="n">
        <v>1.05</v>
      </c>
      <c r="G193" s="10" t="inlineStr"/>
      <c r="H193" s="6">
        <f>D193*E193*F193</f>
        <v/>
      </c>
      <c r="I193" s="5" t="inlineStr">
        <is>
          <t>Sqm</t>
        </is>
      </c>
    </row>
    <row r="194">
      <c r="A194" s="9" t="n"/>
      <c r="B194" s="5" t="inlineStr">
        <is>
          <t>First Floor - Bedroom Flooring</t>
        </is>
      </c>
      <c r="C194" s="9" t="n"/>
      <c r="D194" s="10" t="n">
        <v>1</v>
      </c>
      <c r="E194" s="10" t="n">
        <v>3.08</v>
      </c>
      <c r="F194" s="10" t="n">
        <v>4.675</v>
      </c>
      <c r="G194" s="10" t="inlineStr"/>
      <c r="H194" s="6">
        <f>D194*E194*F194</f>
        <v/>
      </c>
      <c r="I194" s="5" t="inlineStr">
        <is>
          <t>Sqm</t>
        </is>
      </c>
    </row>
    <row r="195">
      <c r="A195" s="9" t="n"/>
      <c r="B195" s="5" t="inlineStr">
        <is>
          <t>First Floor - Bedroom Skirting</t>
        </is>
      </c>
      <c r="C195" s="9" t="n"/>
      <c r="D195" s="10" t="n">
        <v>1</v>
      </c>
      <c r="E195" s="10" t="n">
        <v>14.61</v>
      </c>
      <c r="F195" s="10" t="inlineStr"/>
      <c r="G195" s="10" t="inlineStr"/>
      <c r="H195" s="6">
        <f>D195*E195</f>
        <v/>
      </c>
      <c r="I195" s="5" t="inlineStr">
        <is>
          <t>Sqm</t>
        </is>
      </c>
    </row>
    <row r="196">
      <c r="A196" s="9" t="n"/>
      <c r="B196" s="5" t="inlineStr">
        <is>
          <t>First Floor - Kitchen Flooring</t>
        </is>
      </c>
      <c r="C196" s="9" t="n"/>
      <c r="D196" s="10" t="n">
        <v>1</v>
      </c>
      <c r="E196" s="10" t="n">
        <v>3.65</v>
      </c>
      <c r="F196" s="10" t="n">
        <v>3.65</v>
      </c>
      <c r="G196" s="10" t="inlineStr"/>
      <c r="H196" s="6">
        <f>D196*E196*F196</f>
        <v/>
      </c>
      <c r="I196" s="5" t="inlineStr">
        <is>
          <t>Sqm</t>
        </is>
      </c>
    </row>
    <row r="197">
      <c r="A197" s="9" t="n"/>
      <c r="B197" s="5" t="inlineStr">
        <is>
          <t>First Floor - Kitchen Skirting</t>
        </is>
      </c>
      <c r="C197" s="9" t="n"/>
      <c r="D197" s="10" t="n">
        <v>1</v>
      </c>
      <c r="E197" s="10" t="n">
        <v>13.7</v>
      </c>
      <c r="F197" s="10" t="inlineStr"/>
      <c r="G197" s="10" t="inlineStr"/>
      <c r="H197" s="6">
        <f>D197*E197</f>
        <v/>
      </c>
      <c r="I197" s="5" t="inlineStr">
        <is>
          <t>Sqm</t>
        </is>
      </c>
    </row>
    <row r="198">
      <c r="A198" s="9" t="n"/>
      <c r="B198" s="5" t="inlineStr">
        <is>
          <t>First Floor - Kitchen Wall Dado</t>
        </is>
      </c>
      <c r="C198" s="9" t="n"/>
      <c r="D198" s="10" t="n">
        <v>1</v>
      </c>
      <c r="E198" s="10" t="n">
        <v>14.6</v>
      </c>
      <c r="F198" s="10" t="inlineStr"/>
      <c r="G198" s="10" t="n">
        <v>2.1</v>
      </c>
      <c r="H198" s="6">
        <f>D198*E198*G198</f>
        <v/>
      </c>
      <c r="I198" s="5" t="inlineStr">
        <is>
          <t>Sqm</t>
        </is>
      </c>
    </row>
    <row r="199">
      <c r="A199" s="9" t="n"/>
      <c r="B199" s="5" t="inlineStr">
        <is>
          <t>Dado Ded. - First Floor - Kitchen Door</t>
        </is>
      </c>
      <c r="C199" s="9" t="n"/>
      <c r="D199" s="10" t="n">
        <v>-1</v>
      </c>
      <c r="E199" s="10" t="n">
        <v>0.9</v>
      </c>
      <c r="F199" s="10" t="inlineStr"/>
      <c r="G199" s="10" t="n">
        <v>2.1</v>
      </c>
      <c r="H199" s="6">
        <f>D199*E199*G199</f>
        <v/>
      </c>
      <c r="I199" s="5" t="inlineStr">
        <is>
          <t>Sqm</t>
        </is>
      </c>
    </row>
    <row r="200">
      <c r="A200" s="9" t="n"/>
      <c r="B200" s="5" t="inlineStr">
        <is>
          <t>Dado Ded. - First Floor - Kitchen Window</t>
        </is>
      </c>
      <c r="C200" s="9" t="n"/>
      <c r="D200" s="10" t="n">
        <v>-1</v>
      </c>
      <c r="E200" s="10" t="n">
        <v>1.2</v>
      </c>
      <c r="F200" s="10" t="inlineStr"/>
      <c r="G200" s="10" t="n">
        <v>1.5</v>
      </c>
      <c r="H200" s="6">
        <f>D200*E200*G200</f>
        <v/>
      </c>
      <c r="I200" s="5" t="inlineStr">
        <is>
          <t>Sqm</t>
        </is>
      </c>
    </row>
    <row r="201">
      <c r="A201" s="9" t="n"/>
      <c r="B201" s="5" t="inlineStr">
        <is>
          <t>First Floor - Toilet Flooring</t>
        </is>
      </c>
      <c r="C201" s="9" t="n"/>
      <c r="D201" s="10" t="n">
        <v>1</v>
      </c>
      <c r="E201" s="10" t="n">
        <v>1.7</v>
      </c>
      <c r="F201" s="10" t="n">
        <v>2.2</v>
      </c>
      <c r="G201" s="10" t="inlineStr"/>
      <c r="H201" s="6">
        <f>D201*E201*F201</f>
        <v/>
      </c>
      <c r="I201" s="5" t="inlineStr">
        <is>
          <t>Sqm</t>
        </is>
      </c>
    </row>
    <row r="202">
      <c r="A202" s="9" t="n"/>
      <c r="B202" s="5" t="inlineStr">
        <is>
          <t>First Floor - Toilet Skirting</t>
        </is>
      </c>
      <c r="C202" s="9" t="n"/>
      <c r="D202" s="10" t="n">
        <v>1</v>
      </c>
      <c r="E202" s="10" t="n">
        <v>7.05</v>
      </c>
      <c r="F202" s="10" t="inlineStr"/>
      <c r="G202" s="10" t="inlineStr"/>
      <c r="H202" s="6">
        <f>D202*E202</f>
        <v/>
      </c>
      <c r="I202" s="5" t="inlineStr">
        <is>
          <t>Sqm</t>
        </is>
      </c>
    </row>
    <row r="203">
      <c r="A203" s="9" t="n"/>
      <c r="B203" s="5" t="inlineStr">
        <is>
          <t>First Floor - Toilet Wall Dado</t>
        </is>
      </c>
      <c r="C203" s="9" t="n"/>
      <c r="D203" s="10" t="n">
        <v>1</v>
      </c>
      <c r="E203" s="10" t="n">
        <v>7.800000000000001</v>
      </c>
      <c r="F203" s="10" t="inlineStr"/>
      <c r="G203" s="10" t="n">
        <v>2.1</v>
      </c>
      <c r="H203" s="6">
        <f>D203*E203*G203</f>
        <v/>
      </c>
      <c r="I203" s="5" t="inlineStr">
        <is>
          <t>Sqm</t>
        </is>
      </c>
    </row>
    <row r="204">
      <c r="A204" s="9" t="n"/>
      <c r="B204" s="5" t="inlineStr">
        <is>
          <t>Dado Ded. - First Floor - Toilet Door</t>
        </is>
      </c>
      <c r="C204" s="9" t="n"/>
      <c r="D204" s="10" t="n">
        <v>-1</v>
      </c>
      <c r="E204" s="10" t="n">
        <v>0.75</v>
      </c>
      <c r="F204" s="10" t="inlineStr"/>
      <c r="G204" s="10" t="n">
        <v>2.1</v>
      </c>
      <c r="H204" s="6">
        <f>D204*E204*G204</f>
        <v/>
      </c>
      <c r="I204" s="5" t="inlineStr">
        <is>
          <t>Sqm</t>
        </is>
      </c>
    </row>
    <row r="205">
      <c r="A205" s="9" t="n"/>
      <c r="B205" s="5" t="inlineStr">
        <is>
          <t>Dado Ded. - First Floor - Toilet Window</t>
        </is>
      </c>
      <c r="C205" s="9" t="n"/>
      <c r="D205" s="10" t="n">
        <v>-1</v>
      </c>
      <c r="E205" s="10" t="n">
        <v>0.6</v>
      </c>
      <c r="F205" s="10" t="inlineStr"/>
      <c r="G205" s="10" t="n">
        <v>0.6</v>
      </c>
      <c r="H205" s="6">
        <f>D205*E205*G205</f>
        <v/>
      </c>
      <c r="I205" s="5" t="inlineStr">
        <is>
          <t>Sqm</t>
        </is>
      </c>
    </row>
    <row r="206">
      <c r="A206" s="9" t="n"/>
      <c r="B206" s="5" t="inlineStr">
        <is>
          <t>First Floor - Drawing Cum Dining Flooring</t>
        </is>
      </c>
      <c r="C206" s="9" t="n"/>
      <c r="D206" s="10" t="n">
        <v>1</v>
      </c>
      <c r="E206" s="10" t="n">
        <v>3.915</v>
      </c>
      <c r="F206" s="10" t="n">
        <v>7.175</v>
      </c>
      <c r="G206" s="10" t="inlineStr"/>
      <c r="H206" s="6">
        <f>D206*E206*F206</f>
        <v/>
      </c>
      <c r="I206" s="5" t="inlineStr">
        <is>
          <t>Sqm</t>
        </is>
      </c>
    </row>
    <row r="207">
      <c r="A207" s="9" t="n"/>
      <c r="B207" s="5" t="inlineStr">
        <is>
          <t>First Floor - Drawing Cum Dining Skirting</t>
        </is>
      </c>
      <c r="C207" s="9" t="n"/>
      <c r="D207" s="10" t="n">
        <v>1</v>
      </c>
      <c r="E207" s="10" t="n">
        <v>20.98</v>
      </c>
      <c r="F207" s="10" t="inlineStr"/>
      <c r="G207" s="10" t="inlineStr"/>
      <c r="H207" s="6">
        <f>D207*E207</f>
        <v/>
      </c>
      <c r="I207" s="5" t="inlineStr">
        <is>
          <t>Sqm</t>
        </is>
      </c>
    </row>
    <row r="208">
      <c r="A208" s="9" t="n"/>
      <c r="B208" s="5" t="inlineStr">
        <is>
          <t>First Floor - Wash Balcony Flooring</t>
        </is>
      </c>
      <c r="C208" s="9" t="n"/>
      <c r="D208" s="10" t="n">
        <v>1</v>
      </c>
      <c r="E208" s="10" t="n">
        <v>3.65</v>
      </c>
      <c r="F208" s="10" t="n">
        <v>1.5</v>
      </c>
      <c r="G208" s="10" t="inlineStr"/>
      <c r="H208" s="6">
        <f>D208*E208*F208</f>
        <v/>
      </c>
      <c r="I208" s="5" t="inlineStr">
        <is>
          <t>Sqm</t>
        </is>
      </c>
    </row>
    <row r="209">
      <c r="A209" s="9" t="n"/>
      <c r="B209" s="5" t="inlineStr">
        <is>
          <t>First Floor - Wash Balcony Skirting</t>
        </is>
      </c>
      <c r="C209" s="9" t="n"/>
      <c r="D209" s="10" t="n">
        <v>1</v>
      </c>
      <c r="E209" s="10" t="n">
        <v>9.4</v>
      </c>
      <c r="F209" s="10" t="inlineStr"/>
      <c r="G209" s="10" t="inlineStr"/>
      <c r="H209" s="6">
        <f>D209*E209</f>
        <v/>
      </c>
      <c r="I209" s="5" t="inlineStr">
        <is>
          <t>Sqm</t>
        </is>
      </c>
    </row>
    <row r="210">
      <c r="A210" s="9" t="n"/>
      <c r="B210" s="5" t="inlineStr">
        <is>
          <t>First Floor - Front Balcony Flooring</t>
        </is>
      </c>
      <c r="C210" s="9" t="n"/>
      <c r="D210" s="10" t="n">
        <v>1</v>
      </c>
      <c r="E210" s="10" t="n">
        <v>3.03</v>
      </c>
      <c r="F210" s="10" t="n">
        <v>1.5</v>
      </c>
      <c r="G210" s="10" t="inlineStr"/>
      <c r="H210" s="6">
        <f>D210*E210*F210</f>
        <v/>
      </c>
      <c r="I210" s="5" t="inlineStr">
        <is>
          <t>Sqm</t>
        </is>
      </c>
    </row>
    <row r="211">
      <c r="A211" s="9" t="n"/>
      <c r="B211" s="5" t="inlineStr">
        <is>
          <t>First Floor - Front Balcony Skirting</t>
        </is>
      </c>
      <c r="C211" s="9" t="n"/>
      <c r="D211" s="10" t="n">
        <v>1</v>
      </c>
      <c r="E211" s="10" t="n">
        <v>8.16</v>
      </c>
      <c r="F211" s="10" t="inlineStr"/>
      <c r="G211" s="10" t="inlineStr"/>
      <c r="H211" s="6">
        <f>D211*E211</f>
        <v/>
      </c>
      <c r="I211" s="5" t="inlineStr">
        <is>
          <t>Sqm</t>
        </is>
      </c>
    </row>
    <row r="212">
      <c r="A212" s="9" t="n"/>
      <c r="B212" s="5" t="inlineStr">
        <is>
          <t>First Floor - Staircase tread finish (Granite)</t>
        </is>
      </c>
      <c r="C212" s="9" t="n"/>
      <c r="D212" s="10" t="n">
        <v>18</v>
      </c>
      <c r="E212" s="10" t="n">
        <v>0.25</v>
      </c>
      <c r="F212" s="10" t="n">
        <v>1</v>
      </c>
      <c r="G212" s="10" t="inlineStr"/>
      <c r="H212" s="6">
        <f>D212*E212*F212</f>
        <v/>
      </c>
      <c r="I212" s="5" t="inlineStr">
        <is>
          <t>Sqm</t>
        </is>
      </c>
    </row>
    <row r="213">
      <c r="A213" s="9" t="n"/>
      <c r="B213" s="5" t="inlineStr">
        <is>
          <t>First Floor - Staircase riser finish (Granite)</t>
        </is>
      </c>
      <c r="C213" s="9" t="n"/>
      <c r="D213" s="10" t="n">
        <v>18</v>
      </c>
      <c r="E213" s="10" t="n">
        <v>0.15</v>
      </c>
      <c r="F213" s="10" t="n">
        <v>1</v>
      </c>
      <c r="G213" s="10" t="inlineStr"/>
      <c r="H213" s="6">
        <f>D213*E213*F213</f>
        <v/>
      </c>
      <c r="I213" s="5" t="inlineStr">
        <is>
          <t>Sqm</t>
        </is>
      </c>
    </row>
    <row r="214">
      <c r="A214" s="9" t="n"/>
      <c r="B214" s="5" t="inlineStr">
        <is>
          <t>First Floor - Staircase midlanding finish (Granite)</t>
        </is>
      </c>
      <c r="C214" s="9" t="n"/>
      <c r="D214" s="10" t="n">
        <v>1</v>
      </c>
      <c r="E214" s="10" t="n">
        <v>2.1</v>
      </c>
      <c r="F214" s="10" t="n">
        <v>1.05</v>
      </c>
      <c r="G214" s="10" t="inlineStr"/>
      <c r="H214" s="6">
        <f>D214*E214*F214</f>
        <v/>
      </c>
      <c r="I214" s="5" t="inlineStr">
        <is>
          <t>Sqm</t>
        </is>
      </c>
    </row>
    <row r="215">
      <c r="A215" s="9" t="n"/>
      <c r="B215" s="5" t="inlineStr">
        <is>
          <t>Second Floor - Bedroom Flooring</t>
        </is>
      </c>
      <c r="C215" s="9" t="n"/>
      <c r="D215" s="10" t="n">
        <v>1</v>
      </c>
      <c r="E215" s="10" t="n">
        <v>3.565</v>
      </c>
      <c r="F215" s="10" t="n">
        <v>3.775</v>
      </c>
      <c r="G215" s="10" t="inlineStr"/>
      <c r="H215" s="6">
        <f>D215*E215*F215</f>
        <v/>
      </c>
      <c r="I215" s="5" t="inlineStr">
        <is>
          <t>Sqm</t>
        </is>
      </c>
    </row>
    <row r="216">
      <c r="A216" s="9" t="n"/>
      <c r="B216" s="5" t="inlineStr">
        <is>
          <t>Second Floor - Bedroom Skirting</t>
        </is>
      </c>
      <c r="C216" s="9" t="n"/>
      <c r="D216" s="10" t="n">
        <v>1</v>
      </c>
      <c r="E216" s="10" t="n">
        <v>13.78</v>
      </c>
      <c r="F216" s="10" t="inlineStr"/>
      <c r="G216" s="10" t="inlineStr"/>
      <c r="H216" s="6">
        <f>D216*E216</f>
        <v/>
      </c>
      <c r="I216" s="5" t="inlineStr">
        <is>
          <t>Sqm</t>
        </is>
      </c>
    </row>
    <row r="217">
      <c r="A217" s="9" t="n"/>
      <c r="B217" s="5" t="inlineStr">
        <is>
          <t>Second Floor - Dressing Flooring</t>
        </is>
      </c>
      <c r="C217" s="9" t="n"/>
      <c r="D217" s="10" t="n">
        <v>1</v>
      </c>
      <c r="E217" s="10" t="n">
        <v>3.165</v>
      </c>
      <c r="F217" s="10" t="n">
        <v>2.16</v>
      </c>
      <c r="G217" s="10" t="inlineStr"/>
      <c r="H217" s="6">
        <f>D217*E217*F217</f>
        <v/>
      </c>
      <c r="I217" s="5" t="inlineStr">
        <is>
          <t>Sqm</t>
        </is>
      </c>
    </row>
    <row r="218">
      <c r="A218" s="9" t="n"/>
      <c r="B218" s="5" t="inlineStr">
        <is>
          <t>Second Floor - Dressing Skirting</t>
        </is>
      </c>
      <c r="C218" s="9" t="n"/>
      <c r="D218" s="10" t="n">
        <v>1</v>
      </c>
      <c r="E218" s="10" t="n">
        <v>9.75</v>
      </c>
      <c r="F218" s="10" t="inlineStr"/>
      <c r="G218" s="10" t="inlineStr"/>
      <c r="H218" s="6">
        <f>D218*E218</f>
        <v/>
      </c>
      <c r="I218" s="5" t="inlineStr">
        <is>
          <t>Sqm</t>
        </is>
      </c>
    </row>
    <row r="219">
      <c r="A219" s="9" t="n"/>
      <c r="B219" s="5" t="inlineStr">
        <is>
          <t>Second Floor - Toilet Flooring</t>
        </is>
      </c>
      <c r="C219" s="9" t="n"/>
      <c r="D219" s="10" t="n">
        <v>1</v>
      </c>
      <c r="E219" s="10" t="n">
        <v>3.165</v>
      </c>
      <c r="F219" s="10" t="n">
        <v>1.5</v>
      </c>
      <c r="G219" s="10" t="inlineStr"/>
      <c r="H219" s="6">
        <f>D219*E219*F219</f>
        <v/>
      </c>
      <c r="I219" s="5" t="inlineStr">
        <is>
          <t>Sqm</t>
        </is>
      </c>
    </row>
    <row r="220">
      <c r="A220" s="9" t="n"/>
      <c r="B220" s="5" t="inlineStr">
        <is>
          <t>Second Floor - Toilet Skirting</t>
        </is>
      </c>
      <c r="C220" s="9" t="n"/>
      <c r="D220" s="10" t="n">
        <v>1</v>
      </c>
      <c r="E220" s="10" t="n">
        <v>8.58</v>
      </c>
      <c r="F220" s="10" t="inlineStr"/>
      <c r="G220" s="10" t="inlineStr"/>
      <c r="H220" s="6">
        <f>D220*E220</f>
        <v/>
      </c>
      <c r="I220" s="5" t="inlineStr">
        <is>
          <t>Sqm</t>
        </is>
      </c>
    </row>
    <row r="221">
      <c r="A221" s="9" t="n"/>
      <c r="B221" s="5" t="inlineStr">
        <is>
          <t>Second Floor - Toilet Wall Dado</t>
        </is>
      </c>
      <c r="C221" s="9" t="n"/>
      <c r="D221" s="10" t="n">
        <v>1</v>
      </c>
      <c r="E221" s="10" t="n">
        <v>9.33</v>
      </c>
      <c r="F221" s="10" t="inlineStr"/>
      <c r="G221" s="10" t="n">
        <v>2.1</v>
      </c>
      <c r="H221" s="6">
        <f>D221*E221*G221</f>
        <v/>
      </c>
      <c r="I221" s="5" t="inlineStr">
        <is>
          <t>Sqm</t>
        </is>
      </c>
    </row>
    <row r="222">
      <c r="A222" s="9" t="n"/>
      <c r="B222" s="5" t="inlineStr">
        <is>
          <t>Dado Ded. - Second Floor - Toilet Door</t>
        </is>
      </c>
      <c r="C222" s="9" t="n"/>
      <c r="D222" s="10" t="n">
        <v>-1</v>
      </c>
      <c r="E222" s="10" t="n">
        <v>0.75</v>
      </c>
      <c r="F222" s="10" t="inlineStr"/>
      <c r="G222" s="10" t="n">
        <v>2.1</v>
      </c>
      <c r="H222" s="6">
        <f>D222*E222*G222</f>
        <v/>
      </c>
      <c r="I222" s="5" t="inlineStr">
        <is>
          <t>Sqm</t>
        </is>
      </c>
    </row>
    <row r="223">
      <c r="A223" s="9" t="n"/>
      <c r="B223" s="5" t="inlineStr">
        <is>
          <t>Dado Ded. - Second Floor - Toilet Window</t>
        </is>
      </c>
      <c r="C223" s="9" t="n"/>
      <c r="D223" s="10" t="n">
        <v>-1</v>
      </c>
      <c r="E223" s="10" t="n">
        <v>0.6</v>
      </c>
      <c r="F223" s="10" t="inlineStr"/>
      <c r="G223" s="10" t="n">
        <v>0.6</v>
      </c>
      <c r="H223" s="6">
        <f>D223*E223*G223</f>
        <v/>
      </c>
      <c r="I223" s="5" t="inlineStr">
        <is>
          <t>Sqm</t>
        </is>
      </c>
    </row>
    <row r="224">
      <c r="A224" s="9" t="n"/>
      <c r="B224" s="5" t="inlineStr">
        <is>
          <t>Second Floor - Room Flooring</t>
        </is>
      </c>
      <c r="C224" s="9" t="n"/>
      <c r="D224" s="10" t="n">
        <v>1</v>
      </c>
      <c r="E224" s="10" t="n">
        <v>5.765</v>
      </c>
      <c r="F224" s="10" t="n">
        <v>3.035</v>
      </c>
      <c r="G224" s="10" t="inlineStr"/>
      <c r="H224" s="6">
        <f>D224*E224*F224</f>
        <v/>
      </c>
      <c r="I224" s="5" t="inlineStr">
        <is>
          <t>Sqm</t>
        </is>
      </c>
    </row>
    <row r="225">
      <c r="A225" s="9" t="n"/>
      <c r="B225" s="5" t="inlineStr">
        <is>
          <t>Second Floor - Room Skirting</t>
        </is>
      </c>
      <c r="C225" s="9" t="n"/>
      <c r="D225" s="10" t="n">
        <v>1</v>
      </c>
      <c r="E225" s="10" t="n">
        <v>16.7</v>
      </c>
      <c r="F225" s="10" t="inlineStr"/>
      <c r="G225" s="10" t="inlineStr"/>
      <c r="H225" s="6">
        <f>D225*E225</f>
        <v/>
      </c>
      <c r="I225" s="5" t="inlineStr">
        <is>
          <t>Sqm</t>
        </is>
      </c>
    </row>
    <row r="226">
      <c r="A226" s="9" t="n"/>
      <c r="B226" s="5" t="inlineStr">
        <is>
          <t>Second Floor - Bedroom Flooring</t>
        </is>
      </c>
      <c r="C226" s="9" t="n"/>
      <c r="D226" s="10" t="n">
        <v>1</v>
      </c>
      <c r="E226" s="10" t="n">
        <v>3.915</v>
      </c>
      <c r="F226" s="10" t="n">
        <v>3.95</v>
      </c>
      <c r="G226" s="10" t="inlineStr"/>
      <c r="H226" s="6">
        <f>D226*E226*F226</f>
        <v/>
      </c>
      <c r="I226" s="5" t="inlineStr">
        <is>
          <t>Sqm</t>
        </is>
      </c>
    </row>
    <row r="227">
      <c r="A227" s="9" t="n"/>
      <c r="B227" s="5" t="inlineStr">
        <is>
          <t>Second Floor - Bedroom Skirting</t>
        </is>
      </c>
      <c r="C227" s="9" t="n"/>
      <c r="D227" s="10" t="n">
        <v>1</v>
      </c>
      <c r="E227" s="10" t="n">
        <v>14.83</v>
      </c>
      <c r="F227" s="10" t="inlineStr"/>
      <c r="G227" s="10" t="inlineStr"/>
      <c r="H227" s="6">
        <f>D227*E227</f>
        <v/>
      </c>
      <c r="I227" s="5" t="inlineStr">
        <is>
          <t>Sqm</t>
        </is>
      </c>
    </row>
    <row r="228">
      <c r="A228" s="9" t="n"/>
      <c r="B228" s="5" t="inlineStr">
        <is>
          <t>Second Floor - Toilet Flooring</t>
        </is>
      </c>
      <c r="C228" s="9" t="n"/>
      <c r="D228" s="10" t="n">
        <v>1</v>
      </c>
      <c r="E228" s="10" t="n">
        <v>2.78</v>
      </c>
      <c r="F228" s="10" t="n">
        <v>1.35</v>
      </c>
      <c r="G228" s="10" t="inlineStr"/>
      <c r="H228" s="6">
        <f>D228*E228*F228</f>
        <v/>
      </c>
      <c r="I228" s="5" t="inlineStr">
        <is>
          <t>Sqm</t>
        </is>
      </c>
    </row>
    <row r="229">
      <c r="A229" s="9" t="n"/>
      <c r="B229" s="5" t="inlineStr">
        <is>
          <t>Second Floor - Toilet Skirting</t>
        </is>
      </c>
      <c r="C229" s="9" t="n"/>
      <c r="D229" s="10" t="n">
        <v>1</v>
      </c>
      <c r="E229" s="10" t="n">
        <v>7.51</v>
      </c>
      <c r="F229" s="10" t="inlineStr"/>
      <c r="G229" s="10" t="inlineStr"/>
      <c r="H229" s="6">
        <f>D229*E229</f>
        <v/>
      </c>
      <c r="I229" s="5" t="inlineStr">
        <is>
          <t>Sqm</t>
        </is>
      </c>
    </row>
    <row r="230">
      <c r="A230" s="9" t="n"/>
      <c r="B230" s="5" t="inlineStr">
        <is>
          <t>Second Floor - Toilet Wall Dado</t>
        </is>
      </c>
      <c r="C230" s="9" t="n"/>
      <c r="D230" s="10" t="n">
        <v>1</v>
      </c>
      <c r="E230" s="10" t="n">
        <v>8.26</v>
      </c>
      <c r="F230" s="10" t="inlineStr"/>
      <c r="G230" s="10" t="n">
        <v>2.1</v>
      </c>
      <c r="H230" s="6">
        <f>D230*E230*G230</f>
        <v/>
      </c>
      <c r="I230" s="5" t="inlineStr">
        <is>
          <t>Sqm</t>
        </is>
      </c>
    </row>
    <row r="231">
      <c r="A231" s="9" t="n"/>
      <c r="B231" s="5" t="inlineStr">
        <is>
          <t>Dado Ded. - Second Floor - Toilet Door</t>
        </is>
      </c>
      <c r="C231" s="9" t="n"/>
      <c r="D231" s="10" t="n">
        <v>-1</v>
      </c>
      <c r="E231" s="10" t="n">
        <v>0.75</v>
      </c>
      <c r="F231" s="10" t="inlineStr"/>
      <c r="G231" s="10" t="n">
        <v>2.1</v>
      </c>
      <c r="H231" s="6">
        <f>D231*E231*G231</f>
        <v/>
      </c>
      <c r="I231" s="5" t="inlineStr">
        <is>
          <t>Sqm</t>
        </is>
      </c>
    </row>
    <row r="232">
      <c r="A232" s="9" t="n"/>
      <c r="B232" s="5" t="inlineStr">
        <is>
          <t>Dado Ded. - Second Floor - Toilet Window</t>
        </is>
      </c>
      <c r="C232" s="9" t="n"/>
      <c r="D232" s="10" t="n">
        <v>-1</v>
      </c>
      <c r="E232" s="10" t="n">
        <v>0.6</v>
      </c>
      <c r="F232" s="10" t="inlineStr"/>
      <c r="G232" s="10" t="n">
        <v>0.6</v>
      </c>
      <c r="H232" s="6">
        <f>D232*E232*G232</f>
        <v/>
      </c>
      <c r="I232" s="5" t="inlineStr">
        <is>
          <t>Sqm</t>
        </is>
      </c>
    </row>
    <row r="233">
      <c r="A233" s="9" t="n"/>
      <c r="B233" s="5" t="inlineStr">
        <is>
          <t>Second Floor - Balcony Flooring</t>
        </is>
      </c>
      <c r="C233" s="9" t="n"/>
      <c r="D233" s="10" t="n">
        <v>1</v>
      </c>
      <c r="E233" s="10" t="n">
        <v>3.915</v>
      </c>
      <c r="F233" s="10" t="n">
        <v>1.5</v>
      </c>
      <c r="G233" s="10" t="inlineStr"/>
      <c r="H233" s="6">
        <f>D233*E233*F233</f>
        <v/>
      </c>
      <c r="I233" s="5" t="inlineStr">
        <is>
          <t>Sqm</t>
        </is>
      </c>
    </row>
    <row r="234">
      <c r="A234" s="9" t="n"/>
      <c r="B234" s="5" t="inlineStr">
        <is>
          <t>Second Floor - Balcony Skirting</t>
        </is>
      </c>
      <c r="C234" s="9" t="n"/>
      <c r="D234" s="10" t="n">
        <v>1</v>
      </c>
      <c r="E234" s="10" t="n">
        <v>9.93</v>
      </c>
      <c r="F234" s="10" t="inlineStr"/>
      <c r="G234" s="10" t="inlineStr"/>
      <c r="H234" s="6">
        <f>D234*E234</f>
        <v/>
      </c>
      <c r="I234" s="5" t="inlineStr">
        <is>
          <t>Sqm</t>
        </is>
      </c>
    </row>
    <row r="235">
      <c r="A235" s="9" t="n"/>
      <c r="B235" s="5" t="inlineStr">
        <is>
          <t>Second Floor - Staircase tread finish (Granite)</t>
        </is>
      </c>
      <c r="C235" s="9" t="n"/>
      <c r="D235" s="10" t="n">
        <v>18</v>
      </c>
      <c r="E235" s="10" t="n">
        <v>0.25</v>
      </c>
      <c r="F235" s="10" t="n">
        <v>1</v>
      </c>
      <c r="G235" s="10" t="inlineStr"/>
      <c r="H235" s="6">
        <f>D235*E235*F235</f>
        <v/>
      </c>
      <c r="I235" s="5" t="inlineStr">
        <is>
          <t>Sqm</t>
        </is>
      </c>
    </row>
    <row r="236">
      <c r="A236" s="9" t="n"/>
      <c r="B236" s="5" t="inlineStr">
        <is>
          <t>Second Floor - Staircase riser finish (Granite)</t>
        </is>
      </c>
      <c r="C236" s="9" t="n"/>
      <c r="D236" s="10" t="n">
        <v>18</v>
      </c>
      <c r="E236" s="10" t="n">
        <v>0.15</v>
      </c>
      <c r="F236" s="10" t="n">
        <v>1</v>
      </c>
      <c r="G236" s="10" t="inlineStr"/>
      <c r="H236" s="6">
        <f>D236*E236*F236</f>
        <v/>
      </c>
      <c r="I236" s="5" t="inlineStr">
        <is>
          <t>Sqm</t>
        </is>
      </c>
    </row>
    <row r="237">
      <c r="A237" s="9" t="n"/>
      <c r="B237" s="5" t="inlineStr">
        <is>
          <t>Second Floor - Staircase midlanding finish (Granite)</t>
        </is>
      </c>
      <c r="C237" s="9" t="n"/>
      <c r="D237" s="10" t="n">
        <v>1</v>
      </c>
      <c r="E237" s="10" t="n">
        <v>2.1</v>
      </c>
      <c r="F237" s="10" t="n">
        <v>1.05</v>
      </c>
      <c r="G237" s="10" t="inlineStr"/>
      <c r="H237" s="6">
        <f>D237*E237*F237</f>
        <v/>
      </c>
      <c r="I237" s="5" t="inlineStr">
        <is>
          <t>Sqm</t>
        </is>
      </c>
    </row>
    <row r="238">
      <c r="A238" s="9" t="n"/>
      <c r="B238" s="5" t="inlineStr">
        <is>
          <t>Terrace Floor - Store Flooring</t>
        </is>
      </c>
      <c r="C238" s="9" t="n"/>
      <c r="D238" s="10" t="n">
        <v>1</v>
      </c>
      <c r="E238" s="10" t="n">
        <v>3.165</v>
      </c>
      <c r="F238" s="10" t="n">
        <v>2.31</v>
      </c>
      <c r="G238" s="10" t="inlineStr"/>
      <c r="H238" s="6">
        <f>D238*E238*F238</f>
        <v/>
      </c>
      <c r="I238" s="5" t="inlineStr">
        <is>
          <t>Sqm</t>
        </is>
      </c>
    </row>
    <row r="239">
      <c r="A239" s="9" t="n"/>
      <c r="B239" s="5" t="inlineStr">
        <is>
          <t>Terrace Floor - Store Skirting</t>
        </is>
      </c>
      <c r="C239" s="9" t="n"/>
      <c r="D239" s="10" t="n">
        <v>1</v>
      </c>
      <c r="E239" s="10" t="n">
        <v>10.05</v>
      </c>
      <c r="F239" s="10" t="inlineStr"/>
      <c r="G239" s="10" t="inlineStr"/>
      <c r="H239" s="6">
        <f>D239*E239</f>
        <v/>
      </c>
      <c r="I239" s="5" t="inlineStr">
        <is>
          <t>Sqm</t>
        </is>
      </c>
    </row>
    <row r="240">
      <c r="A240" s="9" t="n"/>
      <c r="B240" s="5" t="inlineStr">
        <is>
          <t>Terrace Floor - Toilet Flooring</t>
        </is>
      </c>
      <c r="C240" s="9" t="n"/>
      <c r="D240" s="10" t="n">
        <v>1</v>
      </c>
      <c r="E240" s="10" t="n">
        <v>2.815</v>
      </c>
      <c r="F240" s="10" t="n">
        <v>1.35</v>
      </c>
      <c r="G240" s="10" t="inlineStr"/>
      <c r="H240" s="6">
        <f>D240*E240*F240</f>
        <v/>
      </c>
      <c r="I240" s="5" t="inlineStr">
        <is>
          <t>Sqm</t>
        </is>
      </c>
    </row>
    <row r="241">
      <c r="A241" s="9" t="n"/>
      <c r="B241" s="5" t="inlineStr">
        <is>
          <t>Terrace Floor - Toilet Skirting</t>
        </is>
      </c>
      <c r="C241" s="9" t="n"/>
      <c r="D241" s="10" t="n">
        <v>1</v>
      </c>
      <c r="E241" s="10" t="n">
        <v>7.58</v>
      </c>
      <c r="F241" s="10" t="inlineStr"/>
      <c r="G241" s="10" t="inlineStr"/>
      <c r="H241" s="6">
        <f>D241*E241</f>
        <v/>
      </c>
      <c r="I241" s="5" t="inlineStr">
        <is>
          <t>Sqm</t>
        </is>
      </c>
    </row>
    <row r="242">
      <c r="A242" s="9" t="n"/>
      <c r="B242" s="5" t="inlineStr">
        <is>
          <t>Terrace Floor - Toilet Wall Dado</t>
        </is>
      </c>
      <c r="C242" s="9" t="n"/>
      <c r="D242" s="10" t="n">
        <v>1</v>
      </c>
      <c r="E242" s="10" t="n">
        <v>8.33</v>
      </c>
      <c r="F242" s="10" t="inlineStr"/>
      <c r="G242" s="10" t="n">
        <v>2.1</v>
      </c>
      <c r="H242" s="6">
        <f>D242*E242*G242</f>
        <v/>
      </c>
      <c r="I242" s="5" t="inlineStr">
        <is>
          <t>Sqm</t>
        </is>
      </c>
    </row>
    <row r="243">
      <c r="A243" s="9" t="n"/>
      <c r="B243" s="5" t="inlineStr">
        <is>
          <t>Dado Ded. - Terrace Floor - Toilet Door</t>
        </is>
      </c>
      <c r="C243" s="9" t="n"/>
      <c r="D243" s="10" t="n">
        <v>-1</v>
      </c>
      <c r="E243" s="10" t="n">
        <v>0.75</v>
      </c>
      <c r="F243" s="10" t="inlineStr"/>
      <c r="G243" s="10" t="n">
        <v>2.1</v>
      </c>
      <c r="H243" s="6">
        <f>D243*E243*G243</f>
        <v/>
      </c>
      <c r="I243" s="5" t="inlineStr">
        <is>
          <t>Sqm</t>
        </is>
      </c>
    </row>
    <row r="244">
      <c r="A244" s="9" t="n"/>
      <c r="B244" s="5" t="inlineStr">
        <is>
          <t>Dado Ded. - Terrace Floor - Toilet Window</t>
        </is>
      </c>
      <c r="C244" s="9" t="n"/>
      <c r="D244" s="10" t="n">
        <v>-1</v>
      </c>
      <c r="E244" s="10" t="n">
        <v>0.6</v>
      </c>
      <c r="F244" s="10" t="inlineStr"/>
      <c r="G244" s="10" t="n">
        <v>0.6</v>
      </c>
      <c r="H244" s="6">
        <f>D244*E244*G244</f>
        <v/>
      </c>
      <c r="I244" s="5" t="inlineStr">
        <is>
          <t>Sqm</t>
        </is>
      </c>
    </row>
    <row r="245">
      <c r="A245" s="9" t="n"/>
      <c r="B245" s="5" t="inlineStr">
        <is>
          <t>Terrace Floor - Terrace Flooring</t>
        </is>
      </c>
      <c r="C245" s="9" t="n"/>
      <c r="D245" s="10" t="n">
        <v>1</v>
      </c>
      <c r="E245" s="10" t="n">
        <v>9.84</v>
      </c>
      <c r="F245" s="10" t="n">
        <v>7.245</v>
      </c>
      <c r="G245" s="10" t="inlineStr"/>
      <c r="H245" s="6">
        <f>D245*E245*F245</f>
        <v/>
      </c>
      <c r="I245" s="5" t="inlineStr">
        <is>
          <t>Sqm</t>
        </is>
      </c>
    </row>
    <row r="246">
      <c r="A246" s="9" t="n"/>
      <c r="B246" s="5" t="inlineStr">
        <is>
          <t>Terrace Floor - Terrace Skirting</t>
        </is>
      </c>
      <c r="C246" s="9" t="n"/>
      <c r="D246" s="10" t="n">
        <v>1</v>
      </c>
      <c r="E246" s="10" t="n">
        <v>33.27</v>
      </c>
      <c r="F246" s="10" t="inlineStr"/>
      <c r="G246" s="10" t="inlineStr"/>
      <c r="H246" s="6">
        <f>D246*E246</f>
        <v/>
      </c>
      <c r="I246" s="5" t="inlineStr">
        <is>
          <t>Sqm</t>
        </is>
      </c>
    </row>
    <row r="247">
      <c r="A247" s="9" t="n"/>
      <c r="B247" s="5" t="inlineStr">
        <is>
          <t>Terrace Floor - Staircase tread finish (Granite)</t>
        </is>
      </c>
      <c r="C247" s="9" t="n"/>
      <c r="D247" s="10" t="n">
        <v>18</v>
      </c>
      <c r="E247" s="10" t="n">
        <v>0.25</v>
      </c>
      <c r="F247" s="10" t="n">
        <v>1</v>
      </c>
      <c r="G247" s="10" t="inlineStr"/>
      <c r="H247" s="6">
        <f>D247*E247*F247</f>
        <v/>
      </c>
      <c r="I247" s="5" t="inlineStr">
        <is>
          <t>Sqm</t>
        </is>
      </c>
    </row>
    <row r="248">
      <c r="A248" s="9" t="n"/>
      <c r="B248" s="5" t="inlineStr">
        <is>
          <t>Terrace Floor - Staircase riser finish (Granite)</t>
        </is>
      </c>
      <c r="C248" s="9" t="n"/>
      <c r="D248" s="10" t="n">
        <v>18</v>
      </c>
      <c r="E248" s="10" t="n">
        <v>0.15</v>
      </c>
      <c r="F248" s="10" t="n">
        <v>1</v>
      </c>
      <c r="G248" s="10" t="inlineStr"/>
      <c r="H248" s="6">
        <f>D248*E248*F248</f>
        <v/>
      </c>
      <c r="I248" s="5" t="inlineStr">
        <is>
          <t>Sqm</t>
        </is>
      </c>
    </row>
    <row r="249">
      <c r="A249" s="9" t="n"/>
      <c r="B249" s="5" t="inlineStr">
        <is>
          <t>Terrace Floor - Staircase midlanding finish (Granite)</t>
        </is>
      </c>
      <c r="C249" s="9" t="n"/>
      <c r="D249" s="10" t="n">
        <v>1</v>
      </c>
      <c r="E249" s="10" t="n">
        <v>2.1</v>
      </c>
      <c r="F249" s="10" t="n">
        <v>1.05</v>
      </c>
      <c r="G249" s="10" t="inlineStr"/>
      <c r="H249" s="6">
        <f>D249*E249*F249</f>
        <v/>
      </c>
      <c r="I249" s="5" t="inlineStr">
        <is>
          <t>Sqm</t>
        </is>
      </c>
    </row>
    <row r="250">
      <c r="A250" s="11" t="n"/>
      <c r="B250" s="12" t="inlineStr">
        <is>
          <t>Net Quantity</t>
        </is>
      </c>
      <c r="C250" s="11" t="n"/>
      <c r="D250" s="11" t="n"/>
      <c r="E250" s="11" t="n"/>
      <c r="F250" s="11" t="n"/>
      <c r="G250" s="11" t="n"/>
      <c r="H250" s="13">
        <f>ROUND(SUM(H182:H249), 2)</f>
        <v/>
      </c>
      <c r="I250" s="12" t="inlineStr">
        <is>
          <t>Sqm</t>
        </is>
      </c>
    </row>
  </sheetData>
  <mergeCells count="11">
    <mergeCell ref="C6:H6"/>
    <mergeCell ref="C42:H42"/>
    <mergeCell ref="A2:I2"/>
    <mergeCell ref="A5:I5"/>
    <mergeCell ref="A1:I1"/>
    <mergeCell ref="C18:H18"/>
    <mergeCell ref="A3:I3"/>
    <mergeCell ref="C87:H87"/>
    <mergeCell ref="C12:H12"/>
    <mergeCell ref="A4:I4"/>
    <mergeCell ref="C179:H1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2026-06-24T11:54:06Z</dcterms:created>
  <dcterms:modified xmlns:dcterms="http://purl.org/dc/terms/" xmlns:xsi="http://www.w3.org/2001/XMLSchema-instance" xsi:type="dcterms:W3CDTF">2026-06-24T11:54:06Z</dcterms:modified>
</cp:coreProperties>
</file>